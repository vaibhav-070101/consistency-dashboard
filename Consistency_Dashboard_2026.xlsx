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uary" sheetId="2" state="visible" r:id="rId2"/>
    <sheet name="February" sheetId="3" state="visible" r:id="rId3"/>
    <sheet name="March" sheetId="4" state="visible" r:id="rId4"/>
    <sheet name="April" sheetId="5" state="visible" r:id="rId5"/>
    <sheet name="May" sheetId="6" state="visible" r:id="rId6"/>
    <sheet name="June" sheetId="7" state="visible" r:id="rId7"/>
    <sheet name="July" sheetId="8" state="visible" r:id="rId8"/>
    <sheet name="August" sheetId="9" state="visible" r:id="rId9"/>
    <sheet name="September" sheetId="10" state="visible" r:id="rId10"/>
    <sheet name="October" sheetId="11" state="visible" r:id="rId11"/>
    <sheet name="November" sheetId="12" state="visible" r:id="rId12"/>
    <sheet name="Decemb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B5E20"/>
      <sz val="18"/>
    </font>
    <font>
      <name val="Calibri"/>
      <color rgb="00616161"/>
      <sz val="11"/>
    </font>
    <font>
      <name val="Calibri"/>
      <b val="1"/>
      <color rgb="001B5E20"/>
      <sz val="10"/>
    </font>
    <font>
      <name val="Calibri"/>
      <color rgb="0061616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212121"/>
      <sz val="11"/>
    </font>
    <font>
      <name val="Calibri"/>
      <b val="1"/>
      <color rgb="002E7D32"/>
      <sz val="11"/>
    </font>
    <font>
      <name val="Calibri"/>
      <b val="1"/>
      <color rgb="002E7D32"/>
      <sz val="14"/>
    </font>
    <font>
      <name val="Calibri"/>
      <b val="1"/>
      <color rgb="001B5E20"/>
      <sz val="22"/>
    </font>
    <font>
      <name val="Calibri"/>
      <b val="1"/>
      <color rgb="002E7D32"/>
      <sz val="28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4CAF50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DBDBD"/>
      </left>
      <right style="thin">
        <color rgb="00BDBDBD"/>
      </right>
      <top style="medium">
        <color rgb="002E7D32"/>
      </top>
      <bottom style="thin">
        <color rgb="00BDBDB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9" fontId="1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9" fontId="9" fillId="2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9" fontId="12" fillId="3" borderId="1" applyAlignment="1" pivotButton="0" quotePrefix="0" xfId="0">
      <alignment horizontal="center" vertical="center"/>
    </xf>
    <xf numFmtId="9" fontId="1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9" fontId="8" fillId="5" borderId="1" applyAlignment="1" pivotButton="0" quotePrefix="0" xfId="0">
      <alignment horizontal="center" vertical="center"/>
    </xf>
    <xf numFmtId="9" fontId="8" fillId="2" borderId="1" applyAlignment="1" pivotButton="0" quotePrefix="0" xfId="0">
      <alignment horizontal="center" vertical="center"/>
    </xf>
    <xf numFmtId="9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6" applyAlignment="1" pivotButton="0" quotePrefix="0" xfId="0">
      <alignment horizontal="left" vertical="center"/>
    </xf>
    <xf numFmtId="0" fontId="4" fillId="7" borderId="6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9" fontId="8" fillId="7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4" fillId="5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9" fontId="8" fillId="5" borderId="6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F3E0"/>
        </patternFill>
      </fill>
    </dxf>
    <dxf>
      <fill>
        <patternFill patternType="solid">
          <fgColor rgb="00FFCDD2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Consistency Trend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'Dashboard'!$C$8:$N$8</f>
            </numRef>
          </cat>
          <val>
            <numRef>
              <f>'Dashboard'!$C$9:$N$9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'Dashboard'!$C$8:$N$8</f>
            </numRef>
          </cat>
          <val>
            <numRef>
              <f>'Dashboard'!$C$10:$N$10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'Dashboard'!$C$8:$N$8</f>
            </numRef>
          </cat>
          <val>
            <numRef>
              <f>'Dashboard'!$C$11:$N$11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'Dashboard'!$C$8:$N$8</f>
            </numRef>
          </cat>
          <val>
            <numRef>
              <f>'Dashboard'!$C$12:$N$12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'Dashboard'!$C$8:$N$8</f>
            </numRef>
          </cat>
          <val>
            <numRef>
              <f>'Dashboard'!$C$13:$N$13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'Dashboard'!$C$8:$N$8</f>
            </numRef>
          </cat>
          <val>
            <numRef>
              <f>'Dashboard'!$C$14:$N$14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Consistency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 Average by Habit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'Dashboard'!O8</f>
            </strRef>
          </tx>
          <spPr>
            <a:ln>
              <a:prstDash val="solid"/>
            </a:ln>
          </spPr>
          <cat>
            <numRef>
              <f>'Dashboard'!$A$9:$A$14</f>
            </numRef>
          </cat>
          <val>
            <numRef>
              <f>'Dashboard'!$O$9:$O$14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35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O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THE CONSISTENCY DASHBOARD</t>
        </is>
      </c>
    </row>
    <row r="2">
      <c r="A2" s="2" t="inlineStr">
        <is>
          <t>2026  ·  Your year of building unbreakable habits</t>
        </is>
      </c>
    </row>
    <row r="4">
      <c r="A4" s="3">
        <f>IFERROR(AVERAGE('January'!I14,'February'!I14,'March'!I14,'April'!I14,'May'!I14,'June'!I14,'July'!I14,'August'!I14,'September'!I14,'October'!I14,'November'!I14,'December'!I14),"")</f>
        <v/>
      </c>
      <c r="B4" s="4" t="n"/>
      <c r="C4" s="5" t="n"/>
      <c r="D4" s="6" t="inlineStr">
        <is>
          <t>—</t>
        </is>
      </c>
      <c r="E4" s="4" t="n"/>
      <c r="F4" s="5" t="n"/>
      <c r="G4" s="6" t="n">
        <v>6</v>
      </c>
      <c r="H4" s="4" t="n"/>
      <c r="I4" s="5" t="n"/>
      <c r="J4" s="3">
        <f>ROUND((TODAY()-DATE(2026,1,1))/365,2)</f>
        <v/>
      </c>
      <c r="K4" s="4" t="n"/>
      <c r="L4" s="5" t="n"/>
    </row>
    <row r="5">
      <c r="A5" s="7" t="inlineStr">
        <is>
          <t>Overall Consistency</t>
        </is>
      </c>
      <c r="B5" s="4" t="n"/>
      <c r="C5" s="5" t="n"/>
      <c r="D5" s="7" t="inlineStr">
        <is>
          <t>Best Month</t>
        </is>
      </c>
      <c r="E5" s="4" t="n"/>
      <c r="F5" s="5" t="n"/>
      <c r="G5" s="7" t="inlineStr">
        <is>
          <t>Habits Tracked</t>
        </is>
      </c>
      <c r="H5" s="4" t="n"/>
      <c r="I5" s="5" t="n"/>
      <c r="J5" s="7" t="inlineStr">
        <is>
          <t>Year Progress</t>
        </is>
      </c>
      <c r="K5" s="4" t="n"/>
      <c r="L5" s="5" t="n"/>
    </row>
    <row r="7">
      <c r="A7" s="8" t="inlineStr">
        <is>
          <t>MONTHLY BREAKDOWN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>
      <c r="A8" s="10" t="inlineStr">
        <is>
          <t>Habit</t>
        </is>
      </c>
      <c r="B8" s="11" t="inlineStr">
        <is>
          <t>Target</t>
        </is>
      </c>
      <c r="C8" s="11" t="inlineStr">
        <is>
          <t>Jan</t>
        </is>
      </c>
      <c r="D8" s="11" t="inlineStr">
        <is>
          <t>Feb</t>
        </is>
      </c>
      <c r="E8" s="11" t="inlineStr">
        <is>
          <t>Mar</t>
        </is>
      </c>
      <c r="F8" s="11" t="inlineStr">
        <is>
          <t>Apr</t>
        </is>
      </c>
      <c r="G8" s="11" t="inlineStr">
        <is>
          <t>May</t>
        </is>
      </c>
      <c r="H8" s="11" t="inlineStr">
        <is>
          <t>Jun</t>
        </is>
      </c>
      <c r="I8" s="11" t="inlineStr">
        <is>
          <t>Jul</t>
        </is>
      </c>
      <c r="J8" s="11" t="inlineStr">
        <is>
          <t>Aug</t>
        </is>
      </c>
      <c r="K8" s="11" t="inlineStr">
        <is>
          <t>Sep</t>
        </is>
      </c>
      <c r="L8" s="11" t="inlineStr">
        <is>
          <t>Oct</t>
        </is>
      </c>
      <c r="M8" s="11" t="inlineStr">
        <is>
          <t>Nov</t>
        </is>
      </c>
      <c r="N8" s="11" t="inlineStr">
        <is>
          <t>Dec</t>
        </is>
      </c>
      <c r="O8" s="11" t="inlineStr">
        <is>
          <t>Year Avg</t>
        </is>
      </c>
    </row>
    <row r="9">
      <c r="A9" s="12" t="inlineStr">
        <is>
          <t>Gym</t>
        </is>
      </c>
      <c r="B9" s="13" t="inlineStr">
        <is>
          <t>5/wk</t>
        </is>
      </c>
      <c r="C9" s="14">
        <f>IFERROR('January'!C14,"")</f>
        <v/>
      </c>
      <c r="D9" s="14">
        <f>IFERROR('February'!C14,"")</f>
        <v/>
      </c>
      <c r="E9" s="14">
        <f>IFERROR('March'!C14,"")</f>
        <v/>
      </c>
      <c r="F9" s="14">
        <f>IFERROR('April'!C14,"")</f>
        <v/>
      </c>
      <c r="G9" s="14">
        <f>IFERROR('May'!C14,"")</f>
        <v/>
      </c>
      <c r="H9" s="14">
        <f>IFERROR('June'!C14,"")</f>
        <v/>
      </c>
      <c r="I9" s="14">
        <f>IFERROR('July'!C14,"")</f>
        <v/>
      </c>
      <c r="J9" s="14">
        <f>IFERROR('August'!C14,"")</f>
        <v/>
      </c>
      <c r="K9" s="14">
        <f>IFERROR('September'!C14,"")</f>
        <v/>
      </c>
      <c r="L9" s="14">
        <f>IFERROR('October'!C14,"")</f>
        <v/>
      </c>
      <c r="M9" s="14">
        <f>IFERROR('November'!C14,"")</f>
        <v/>
      </c>
      <c r="N9" s="14">
        <f>IFERROR('December'!C14,"")</f>
        <v/>
      </c>
      <c r="O9" s="15">
        <f>IFERROR(AVERAGE(C9:N9),"")</f>
        <v/>
      </c>
    </row>
    <row r="10">
      <c r="A10" s="12" t="inlineStr">
        <is>
          <t>Speaking</t>
        </is>
      </c>
      <c r="B10" s="13" t="inlineStr">
        <is>
          <t>5/wk</t>
        </is>
      </c>
      <c r="C10" s="14">
        <f>IFERROR('January'!D14,"")</f>
        <v/>
      </c>
      <c r="D10" s="14">
        <f>IFERROR('February'!D14,"")</f>
        <v/>
      </c>
      <c r="E10" s="14">
        <f>IFERROR('March'!D14,"")</f>
        <v/>
      </c>
      <c r="F10" s="14">
        <f>IFERROR('April'!D14,"")</f>
        <v/>
      </c>
      <c r="G10" s="14">
        <f>IFERROR('May'!D14,"")</f>
        <v/>
      </c>
      <c r="H10" s="14">
        <f>IFERROR('June'!D14,"")</f>
        <v/>
      </c>
      <c r="I10" s="14">
        <f>IFERROR('July'!D14,"")</f>
        <v/>
      </c>
      <c r="J10" s="14">
        <f>IFERROR('August'!D14,"")</f>
        <v/>
      </c>
      <c r="K10" s="14">
        <f>IFERROR('September'!D14,"")</f>
        <v/>
      </c>
      <c r="L10" s="14">
        <f>IFERROR('October'!D14,"")</f>
        <v/>
      </c>
      <c r="M10" s="14">
        <f>IFERROR('November'!D14,"")</f>
        <v/>
      </c>
      <c r="N10" s="14">
        <f>IFERROR('December'!D14,"")</f>
        <v/>
      </c>
      <c r="O10" s="15">
        <f>IFERROR(AVERAGE(C10:N10),"")</f>
        <v/>
      </c>
    </row>
    <row r="11">
      <c r="A11" s="12" t="inlineStr">
        <is>
          <t>Wake Early</t>
        </is>
      </c>
      <c r="B11" s="13" t="inlineStr">
        <is>
          <t>7/wk</t>
        </is>
      </c>
      <c r="C11" s="14">
        <f>IFERROR('January'!E14,"")</f>
        <v/>
      </c>
      <c r="D11" s="14">
        <f>IFERROR('February'!E14,"")</f>
        <v/>
      </c>
      <c r="E11" s="14">
        <f>IFERROR('March'!E14,"")</f>
        <v/>
      </c>
      <c r="F11" s="14">
        <f>IFERROR('April'!E14,"")</f>
        <v/>
      </c>
      <c r="G11" s="14">
        <f>IFERROR('May'!E14,"")</f>
        <v/>
      </c>
      <c r="H11" s="14">
        <f>IFERROR('June'!E14,"")</f>
        <v/>
      </c>
      <c r="I11" s="14">
        <f>IFERROR('July'!E14,"")</f>
        <v/>
      </c>
      <c r="J11" s="14">
        <f>IFERROR('August'!E14,"")</f>
        <v/>
      </c>
      <c r="K11" s="14">
        <f>IFERROR('September'!E14,"")</f>
        <v/>
      </c>
      <c r="L11" s="14">
        <f>IFERROR('October'!E14,"")</f>
        <v/>
      </c>
      <c r="M11" s="14">
        <f>IFERROR('November'!E14,"")</f>
        <v/>
      </c>
      <c r="N11" s="14">
        <f>IFERROR('December'!E14,"")</f>
        <v/>
      </c>
      <c r="O11" s="15">
        <f>IFERROR(AVERAGE(C11:N11),"")</f>
        <v/>
      </c>
    </row>
    <row r="12">
      <c r="A12" s="12" t="inlineStr">
        <is>
          <t>Eat Clean</t>
        </is>
      </c>
      <c r="B12" s="13" t="inlineStr">
        <is>
          <t>7/wk</t>
        </is>
      </c>
      <c r="C12" s="14">
        <f>IFERROR('January'!F14,"")</f>
        <v/>
      </c>
      <c r="D12" s="14">
        <f>IFERROR('February'!F14,"")</f>
        <v/>
      </c>
      <c r="E12" s="14">
        <f>IFERROR('March'!F14,"")</f>
        <v/>
      </c>
      <c r="F12" s="14">
        <f>IFERROR('April'!F14,"")</f>
        <v/>
      </c>
      <c r="G12" s="14">
        <f>IFERROR('May'!F14,"")</f>
        <v/>
      </c>
      <c r="H12" s="14">
        <f>IFERROR('June'!F14,"")</f>
        <v/>
      </c>
      <c r="I12" s="14">
        <f>IFERROR('July'!F14,"")</f>
        <v/>
      </c>
      <c r="J12" s="14">
        <f>IFERROR('August'!F14,"")</f>
        <v/>
      </c>
      <c r="K12" s="14">
        <f>IFERROR('September'!F14,"")</f>
        <v/>
      </c>
      <c r="L12" s="14">
        <f>IFERROR('October'!F14,"")</f>
        <v/>
      </c>
      <c r="M12" s="14">
        <f>IFERROR('November'!F14,"")</f>
        <v/>
      </c>
      <c r="N12" s="14">
        <f>IFERROR('December'!F14,"")</f>
        <v/>
      </c>
      <c r="O12" s="15">
        <f>IFERROR(AVERAGE(C12:N12),"")</f>
        <v/>
      </c>
    </row>
    <row r="13">
      <c r="A13" s="12" t="inlineStr">
        <is>
          <t>Calories</t>
        </is>
      </c>
      <c r="B13" s="13" t="inlineStr">
        <is>
          <t>7/wk</t>
        </is>
      </c>
      <c r="C13" s="14">
        <f>IFERROR('January'!G14,"")</f>
        <v/>
      </c>
      <c r="D13" s="14">
        <f>IFERROR('February'!G14,"")</f>
        <v/>
      </c>
      <c r="E13" s="14">
        <f>IFERROR('March'!G14,"")</f>
        <v/>
      </c>
      <c r="F13" s="14">
        <f>IFERROR('April'!G14,"")</f>
        <v/>
      </c>
      <c r="G13" s="14">
        <f>IFERROR('May'!G14,"")</f>
        <v/>
      </c>
      <c r="H13" s="14">
        <f>IFERROR('June'!G14,"")</f>
        <v/>
      </c>
      <c r="I13" s="14">
        <f>IFERROR('July'!G14,"")</f>
        <v/>
      </c>
      <c r="J13" s="14">
        <f>IFERROR('August'!G14,"")</f>
        <v/>
      </c>
      <c r="K13" s="14">
        <f>IFERROR('September'!G14,"")</f>
        <v/>
      </c>
      <c r="L13" s="14">
        <f>IFERROR('October'!G14,"")</f>
        <v/>
      </c>
      <c r="M13" s="14">
        <f>IFERROR('November'!G14,"")</f>
        <v/>
      </c>
      <c r="N13" s="14">
        <f>IFERROR('December'!G14,"")</f>
        <v/>
      </c>
      <c r="O13" s="15">
        <f>IFERROR(AVERAGE(C13:N13),"")</f>
        <v/>
      </c>
    </row>
    <row r="14">
      <c r="A14" s="12" t="inlineStr">
        <is>
          <t>Coding</t>
        </is>
      </c>
      <c r="B14" s="13" t="inlineStr">
        <is>
          <t>5/wk</t>
        </is>
      </c>
      <c r="C14" s="14">
        <f>IFERROR('January'!H14,"")</f>
        <v/>
      </c>
      <c r="D14" s="14">
        <f>IFERROR('February'!H14,"")</f>
        <v/>
      </c>
      <c r="E14" s="14">
        <f>IFERROR('March'!H14,"")</f>
        <v/>
      </c>
      <c r="F14" s="14">
        <f>IFERROR('April'!H14,"")</f>
        <v/>
      </c>
      <c r="G14" s="14">
        <f>IFERROR('May'!H14,"")</f>
        <v/>
      </c>
      <c r="H14" s="14">
        <f>IFERROR('June'!H14,"")</f>
        <v/>
      </c>
      <c r="I14" s="14">
        <f>IFERROR('July'!H14,"")</f>
        <v/>
      </c>
      <c r="J14" s="14">
        <f>IFERROR('August'!H14,"")</f>
        <v/>
      </c>
      <c r="K14" s="14">
        <f>IFERROR('September'!H14,"")</f>
        <v/>
      </c>
      <c r="L14" s="14">
        <f>IFERROR('October'!H14,"")</f>
        <v/>
      </c>
      <c r="M14" s="14">
        <f>IFERROR('November'!H14,"")</f>
        <v/>
      </c>
      <c r="N14" s="14">
        <f>IFERROR('December'!H14,"")</f>
        <v/>
      </c>
      <c r="O14" s="15">
        <f>IFERROR(AVERAGE(C14:N14),"")</f>
        <v/>
      </c>
    </row>
    <row r="15">
      <c r="A15" s="16" t="inlineStr">
        <is>
          <t>OVERALL</t>
        </is>
      </c>
      <c r="B15" s="17" t="inlineStr"/>
      <c r="C15" s="18">
        <f>IFERROR(AVERAGE(C9:C14),"")</f>
        <v/>
      </c>
      <c r="D15" s="18">
        <f>IFERROR(AVERAGE(D9:D14),"")</f>
        <v/>
      </c>
      <c r="E15" s="18">
        <f>IFERROR(AVERAGE(E9:E14),"")</f>
        <v/>
      </c>
      <c r="F15" s="18">
        <f>IFERROR(AVERAGE(F9:F14),"")</f>
        <v/>
      </c>
      <c r="G15" s="18">
        <f>IFERROR(AVERAGE(G9:G14),"")</f>
        <v/>
      </c>
      <c r="H15" s="18">
        <f>IFERROR(AVERAGE(H9:H14),"")</f>
        <v/>
      </c>
      <c r="I15" s="18">
        <f>IFERROR(AVERAGE(I9:I14),"")</f>
        <v/>
      </c>
      <c r="J15" s="18">
        <f>IFERROR(AVERAGE(J9:J14),"")</f>
        <v/>
      </c>
      <c r="K15" s="18">
        <f>IFERROR(AVERAGE(K9:K14),"")</f>
        <v/>
      </c>
      <c r="L15" s="18">
        <f>IFERROR(AVERAGE(L9:L14),"")</f>
        <v/>
      </c>
      <c r="M15" s="18">
        <f>IFERROR(AVERAGE(M9:M14),"")</f>
        <v/>
      </c>
      <c r="N15" s="18">
        <f>IFERROR(AVERAGE(N9:N14),"")</f>
        <v/>
      </c>
      <c r="O15" s="19">
        <f>IFERROR(AVERAGE(C15:N15),"")</f>
        <v/>
      </c>
    </row>
    <row r="52">
      <c r="A52" s="20" t="inlineStr">
        <is>
          <t>HOW TO USE THIS DASHBOARD</t>
        </is>
      </c>
    </row>
    <row r="53">
      <c r="A53" s="21" t="inlineStr"/>
    </row>
    <row r="54">
      <c r="A54" s="21" t="inlineStr">
        <is>
          <t>1. Go to the current month's tab (e.g., March)</t>
        </is>
      </c>
    </row>
    <row r="55">
      <c r="A55" s="21" t="inlineStr">
        <is>
          <t>2. Scroll down to the DAILY LOG section</t>
        </is>
      </c>
    </row>
    <row r="56">
      <c r="A56" s="21" t="inlineStr">
        <is>
          <t>3. Enter 1 in a habit column when you complete it for the day</t>
        </is>
      </c>
    </row>
    <row r="57">
      <c r="A57" s="21" t="inlineStr">
        <is>
          <t>4. Weekly and monthly percentages auto-update!</t>
        </is>
      </c>
    </row>
    <row r="58">
      <c r="A58" s="21" t="inlineStr"/>
    </row>
    <row r="59">
      <c r="A59" s="20" t="inlineStr">
        <is>
          <t>TARGETS EXPLAINED</t>
        </is>
      </c>
    </row>
    <row r="60">
      <c r="A60" s="21" t="inlineStr">
        <is>
          <t xml:space="preserve">  · Gym, Speaking, Coding → 5 days per week (hit 5 = 100%)</t>
        </is>
      </c>
    </row>
    <row r="61">
      <c r="A61" s="21" t="inlineStr">
        <is>
          <t xml:space="preserve">  · Wake Early, Eat Clean, Calories → daily (7/7 = 100%)</t>
        </is>
      </c>
    </row>
    <row r="62">
      <c r="A62" s="21" t="inlineStr"/>
    </row>
    <row r="63">
      <c r="A63" s="20" t="inlineStr">
        <is>
          <t>TIP: In Google Sheets on iPhone, you can select the habit</t>
        </is>
      </c>
    </row>
    <row r="64">
      <c r="A64" s="21" t="inlineStr">
        <is>
          <t>input cells and use Insert &gt; Checkbox for tap-to-toggle input.</t>
        </is>
      </c>
    </row>
    <row r="65">
      <c r="A65" s="21" t="inlineStr"/>
    </row>
    <row r="66">
      <c r="A66" s="20" t="inlineStr">
        <is>
          <t>COLOR CODING</t>
        </is>
      </c>
    </row>
    <row r="67">
      <c r="A67" s="21" t="inlineStr">
        <is>
          <t xml:space="preserve">  · Green  = 80%+ (crushing it)</t>
        </is>
      </c>
    </row>
    <row r="68">
      <c r="A68" s="21" t="inlineStr">
        <is>
          <t xml:space="preserve">  · Orange = 50-79% (room to improve)</t>
        </is>
      </c>
    </row>
    <row r="69">
      <c r="A69" s="21" t="inlineStr">
        <is>
          <t xml:space="preserve">  · Red    = below 50% (needs attention)</t>
        </is>
      </c>
    </row>
  </sheetData>
  <mergeCells count="29">
    <mergeCell ref="A69:O69"/>
    <mergeCell ref="A7:O7"/>
    <mergeCell ref="A65:O65"/>
    <mergeCell ref="A54:O54"/>
    <mergeCell ref="A66:O66"/>
    <mergeCell ref="J4:L4"/>
    <mergeCell ref="A56:O56"/>
    <mergeCell ref="A55:O55"/>
    <mergeCell ref="A57:O57"/>
    <mergeCell ref="A2:O2"/>
    <mergeCell ref="A5:C5"/>
    <mergeCell ref="G5:I5"/>
    <mergeCell ref="D4:F4"/>
    <mergeCell ref="G4:I4"/>
    <mergeCell ref="A4:C4"/>
    <mergeCell ref="A62:O62"/>
    <mergeCell ref="A53:O53"/>
    <mergeCell ref="D5:F5"/>
    <mergeCell ref="A52:O52"/>
    <mergeCell ref="A63:O63"/>
    <mergeCell ref="A68:O68"/>
    <mergeCell ref="A58:O58"/>
    <mergeCell ref="A67:O67"/>
    <mergeCell ref="J5:L5"/>
    <mergeCell ref="A59:O59"/>
    <mergeCell ref="A64:O64"/>
    <mergeCell ref="A60:O60"/>
    <mergeCell ref="A1:O1"/>
    <mergeCell ref="A61:O61"/>
  </mergeCells>
  <conditionalFormatting sqref="C9:O14">
    <cfRule type="cellIs" priority="1" operator="greaterThanOrEqual" dxfId="0">
      <formula>0.8</formula>
    </cfRule>
    <cfRule type="cellIs" priority="2" operator="between" dxfId="1">
      <formula>0.5</formula>
      <formula>0.7999</formula>
    </cfRule>
    <cfRule type="cellIs" priority="3" operator="lessThan" dxfId="2">
      <formula>0.5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D32"/>
    <outlinePr summaryBelow="1" summaryRight="1"/>
  </sheetPr>
  <dimension ref="A1:I48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JANUARY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3</v>
      </c>
      <c r="C11" s="26">
        <f>MIN(COUNTIF(C46:C48,1)/2,1)</f>
        <v/>
      </c>
      <c r="D11" s="26">
        <f>MIN(COUNTIF(D46:D48,1)/2,1)</f>
        <v/>
      </c>
      <c r="E11" s="26">
        <f>MIN(COUNTIF(E46:E48,1)/3,1)</f>
        <v/>
      </c>
      <c r="F11" s="26">
        <f>MIN(COUNTIF(F46:F48,1)/3,1)</f>
        <v/>
      </c>
      <c r="G11" s="26">
        <f>MIN(COUNTIF(G46:G48,1)/3,1)</f>
        <v/>
      </c>
      <c r="H11" s="26">
        <f>MIN(COUNTIF(H46:H48,1)/2,1)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Jan 01</t>
        </is>
      </c>
      <c r="B18" s="29" t="inlineStr">
        <is>
          <t>Thu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12" t="inlineStr">
        <is>
          <t>Jan 02</t>
        </is>
      </c>
      <c r="B19" s="29" t="inlineStr">
        <is>
          <t>Fri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25" t="inlineStr">
        <is>
          <t>Jan 03</t>
        </is>
      </c>
      <c r="B20" s="13" t="inlineStr">
        <is>
          <t>Sat</t>
        </is>
      </c>
      <c r="C20" s="31" t="n"/>
      <c r="D20" s="31" t="n"/>
      <c r="E20" s="31" t="n"/>
      <c r="F20" s="31" t="n"/>
      <c r="G20" s="31" t="n"/>
      <c r="H20" s="31" t="n"/>
      <c r="I20" s="26">
        <f>IF(COUNTIF(C20:H20,"&gt;=1")&gt;0,COUNTIF(C20:H20,"&gt;=1")/6,"")</f>
        <v/>
      </c>
    </row>
    <row r="21">
      <c r="A21" s="25" t="inlineStr">
        <is>
          <t>Jan 04</t>
        </is>
      </c>
      <c r="B21" s="13" t="inlineStr">
        <is>
          <t>Sun</t>
        </is>
      </c>
      <c r="C21" s="31" t="n"/>
      <c r="D21" s="31" t="n"/>
      <c r="E21" s="31" t="n"/>
      <c r="F21" s="31" t="n"/>
      <c r="G21" s="31" t="n"/>
      <c r="H21" s="31" t="n"/>
      <c r="I21" s="26">
        <f>IF(COUNTIF(C21:H21,"&gt;=1")&gt;0,COUNTIF(C21:H21,"&gt;=1")/6,"")</f>
        <v/>
      </c>
    </row>
    <row r="22">
      <c r="A22" s="12" t="inlineStr">
        <is>
          <t>Jan 05</t>
        </is>
      </c>
      <c r="B22" s="29" t="inlineStr">
        <is>
          <t>Mon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12" t="inlineStr">
        <is>
          <t>Jan 06</t>
        </is>
      </c>
      <c r="B23" s="29" t="inlineStr">
        <is>
          <t>Tue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12" t="inlineStr">
        <is>
          <t>Jan 07</t>
        </is>
      </c>
      <c r="B24" s="29" t="inlineStr">
        <is>
          <t>Wed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2" t="inlineStr">
        <is>
          <t>Jan 08</t>
        </is>
      </c>
      <c r="B25" s="33" t="inlineStr">
        <is>
          <t>Thu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12" t="inlineStr">
        <is>
          <t>Jan 09</t>
        </is>
      </c>
      <c r="B26" s="29" t="inlineStr">
        <is>
          <t>Fri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25" t="inlineStr">
        <is>
          <t>Jan 10</t>
        </is>
      </c>
      <c r="B27" s="13" t="inlineStr">
        <is>
          <t>Sat</t>
        </is>
      </c>
      <c r="C27" s="31" t="n"/>
      <c r="D27" s="31" t="n"/>
      <c r="E27" s="31" t="n"/>
      <c r="F27" s="31" t="n"/>
      <c r="G27" s="31" t="n"/>
      <c r="H27" s="31" t="n"/>
      <c r="I27" s="26">
        <f>IF(COUNTIF(C27:H27,"&gt;=1")&gt;0,COUNTIF(C27:H27,"&gt;=1")/6,"")</f>
        <v/>
      </c>
    </row>
    <row r="28">
      <c r="A28" s="25" t="inlineStr">
        <is>
          <t>Jan 11</t>
        </is>
      </c>
      <c r="B28" s="13" t="inlineStr">
        <is>
          <t>Sun</t>
        </is>
      </c>
      <c r="C28" s="31" t="n"/>
      <c r="D28" s="31" t="n"/>
      <c r="E28" s="31" t="n"/>
      <c r="F28" s="31" t="n"/>
      <c r="G28" s="31" t="n"/>
      <c r="H28" s="31" t="n"/>
      <c r="I28" s="26">
        <f>IF(COUNTIF(C28:H28,"&gt;=1")&gt;0,COUNTIF(C28:H28,"&gt;=1")/6,"")</f>
        <v/>
      </c>
    </row>
    <row r="29">
      <c r="A29" s="12" t="inlineStr">
        <is>
          <t>Jan 12</t>
        </is>
      </c>
      <c r="B29" s="29" t="inlineStr">
        <is>
          <t>Mon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12" t="inlineStr">
        <is>
          <t>Jan 13</t>
        </is>
      </c>
      <c r="B30" s="29" t="inlineStr">
        <is>
          <t>Tue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12" t="inlineStr">
        <is>
          <t>Jan 14</t>
        </is>
      </c>
      <c r="B31" s="29" t="inlineStr">
        <is>
          <t>Wed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2" t="inlineStr">
        <is>
          <t>Jan 15</t>
        </is>
      </c>
      <c r="B32" s="33" t="inlineStr">
        <is>
          <t>Thu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12" t="inlineStr">
        <is>
          <t>Jan 16</t>
        </is>
      </c>
      <c r="B33" s="29" t="inlineStr">
        <is>
          <t>Fri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25" t="inlineStr">
        <is>
          <t>Jan 17</t>
        </is>
      </c>
      <c r="B34" s="13" t="inlineStr">
        <is>
          <t>Sat</t>
        </is>
      </c>
      <c r="C34" s="31" t="n"/>
      <c r="D34" s="31" t="n"/>
      <c r="E34" s="31" t="n"/>
      <c r="F34" s="31" t="n"/>
      <c r="G34" s="31" t="n"/>
      <c r="H34" s="31" t="n"/>
      <c r="I34" s="26">
        <f>IF(COUNTIF(C34:H34,"&gt;=1")&gt;0,COUNTIF(C34:H34,"&gt;=1")/6,"")</f>
        <v/>
      </c>
    </row>
    <row r="35">
      <c r="A35" s="25" t="inlineStr">
        <is>
          <t>Jan 18</t>
        </is>
      </c>
      <c r="B35" s="13" t="inlineStr">
        <is>
          <t>Sun</t>
        </is>
      </c>
      <c r="C35" s="31" t="n"/>
      <c r="D35" s="31" t="n"/>
      <c r="E35" s="31" t="n"/>
      <c r="F35" s="31" t="n"/>
      <c r="G35" s="31" t="n"/>
      <c r="H35" s="31" t="n"/>
      <c r="I35" s="26">
        <f>IF(COUNTIF(C35:H35,"&gt;=1")&gt;0,COUNTIF(C35:H35,"&gt;=1")/6,"")</f>
        <v/>
      </c>
    </row>
    <row r="36">
      <c r="A36" s="12" t="inlineStr">
        <is>
          <t>Jan 19</t>
        </is>
      </c>
      <c r="B36" s="29" t="inlineStr">
        <is>
          <t>Mon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12" t="inlineStr">
        <is>
          <t>Jan 20</t>
        </is>
      </c>
      <c r="B37" s="29" t="inlineStr">
        <is>
          <t>Tue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12" t="inlineStr">
        <is>
          <t>Jan 21</t>
        </is>
      </c>
      <c r="B38" s="29" t="inlineStr">
        <is>
          <t>Wed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2" t="inlineStr">
        <is>
          <t>Jan 22</t>
        </is>
      </c>
      <c r="B39" s="33" t="inlineStr">
        <is>
          <t>Thu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12" t="inlineStr">
        <is>
          <t>Jan 23</t>
        </is>
      </c>
      <c r="B40" s="29" t="inlineStr">
        <is>
          <t>Fri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25" t="inlineStr">
        <is>
          <t>Jan 24</t>
        </is>
      </c>
      <c r="B41" s="13" t="inlineStr">
        <is>
          <t>Sat</t>
        </is>
      </c>
      <c r="C41" s="31" t="n"/>
      <c r="D41" s="31" t="n"/>
      <c r="E41" s="31" t="n"/>
      <c r="F41" s="31" t="n"/>
      <c r="G41" s="31" t="n"/>
      <c r="H41" s="31" t="n"/>
      <c r="I41" s="26">
        <f>IF(COUNTIF(C41:H41,"&gt;=1")&gt;0,COUNTIF(C41:H41,"&gt;=1")/6,"")</f>
        <v/>
      </c>
    </row>
    <row r="42">
      <c r="A42" s="25" t="inlineStr">
        <is>
          <t>Jan 25</t>
        </is>
      </c>
      <c r="B42" s="13" t="inlineStr">
        <is>
          <t>Sun</t>
        </is>
      </c>
      <c r="C42" s="31" t="n"/>
      <c r="D42" s="31" t="n"/>
      <c r="E42" s="31" t="n"/>
      <c r="F42" s="31" t="n"/>
      <c r="G42" s="31" t="n"/>
      <c r="H42" s="31" t="n"/>
      <c r="I42" s="26">
        <f>IF(COUNTIF(C42:H42,"&gt;=1")&gt;0,COUNTIF(C42:H42,"&gt;=1")/6,"")</f>
        <v/>
      </c>
    </row>
    <row r="43">
      <c r="A43" s="12" t="inlineStr">
        <is>
          <t>Jan 26</t>
        </is>
      </c>
      <c r="B43" s="29" t="inlineStr">
        <is>
          <t>Mon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12" t="inlineStr">
        <is>
          <t>Jan 27</t>
        </is>
      </c>
      <c r="B44" s="29" t="inlineStr">
        <is>
          <t>Tue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12" t="inlineStr">
        <is>
          <t>Jan 28</t>
        </is>
      </c>
      <c r="B45" s="29" t="inlineStr">
        <is>
          <t>Wed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2" t="inlineStr">
        <is>
          <t>Jan 29</t>
        </is>
      </c>
      <c r="B46" s="33" t="inlineStr">
        <is>
          <t>Thu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12" t="inlineStr">
        <is>
          <t>Jan 30</t>
        </is>
      </c>
      <c r="B47" s="29" t="inlineStr">
        <is>
          <t>Fri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  <row r="48">
      <c r="A48" s="25" t="inlineStr">
        <is>
          <t>Jan 31</t>
        </is>
      </c>
      <c r="B48" s="13" t="inlineStr">
        <is>
          <t>Sat</t>
        </is>
      </c>
      <c r="C48" s="31" t="n"/>
      <c r="D48" s="31" t="n"/>
      <c r="E48" s="31" t="n"/>
      <c r="F48" s="31" t="n"/>
      <c r="G48" s="31" t="n"/>
      <c r="H48" s="31" t="n"/>
      <c r="I48" s="26">
        <f>IF(COUNTIF(C48:H48,"&gt;=1")&gt;0,COUNTIF(C48:H48,"&gt;=1")/6,"")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8">
    <cfRule type="cellIs" priority="1" operator="equal" dxfId="3">
      <formula>1</formula>
    </cfRule>
  </conditionalFormatting>
  <conditionalFormatting sqref="D18:D48">
    <cfRule type="cellIs" priority="2" operator="equal" dxfId="3">
      <formula>1</formula>
    </cfRule>
  </conditionalFormatting>
  <conditionalFormatting sqref="E18:E48">
    <cfRule type="cellIs" priority="3" operator="equal" dxfId="3">
      <formula>1</formula>
    </cfRule>
  </conditionalFormatting>
  <conditionalFormatting sqref="F18:F48">
    <cfRule type="cellIs" priority="4" operator="equal" dxfId="3">
      <formula>1</formula>
    </cfRule>
  </conditionalFormatting>
  <conditionalFormatting sqref="G18:G48">
    <cfRule type="cellIs" priority="5" operator="equal" dxfId="3">
      <formula>1</formula>
    </cfRule>
  </conditionalFormatting>
  <conditionalFormatting sqref="H18:H48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</sheetPr>
  <dimension ref="A1:I45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FEBRUARY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30" t="inlineStr"/>
      <c r="B11" s="30" t="inlineStr"/>
      <c r="C11" s="30" t="inlineStr"/>
      <c r="D11" s="30" t="inlineStr"/>
      <c r="E11" s="30" t="inlineStr"/>
      <c r="F11" s="30" t="inlineStr"/>
      <c r="G11" s="30" t="inlineStr"/>
      <c r="H11" s="30" t="inlineStr"/>
      <c r="I11" s="30" t="inlineStr"/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AVERAGE(C7:C10)</f>
        <v/>
      </c>
      <c r="D14" s="15">
        <f>AVERAGE(D7:D10)</f>
        <v/>
      </c>
      <c r="E14" s="15">
        <f>AVERAGE(E7:E10)</f>
        <v/>
      </c>
      <c r="F14" s="15">
        <f>AVERAGE(F7:F10)</f>
        <v/>
      </c>
      <c r="G14" s="15">
        <f>AVERAGE(G7:G10)</f>
        <v/>
      </c>
      <c r="H14" s="15">
        <f>AVERAGE(H7:H10)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25" t="inlineStr">
        <is>
          <t>Feb 01</t>
        </is>
      </c>
      <c r="B18" s="13" t="inlineStr">
        <is>
          <t>Sun</t>
        </is>
      </c>
      <c r="C18" s="31" t="n"/>
      <c r="D18" s="31" t="n"/>
      <c r="E18" s="31" t="n"/>
      <c r="F18" s="31" t="n"/>
      <c r="G18" s="31" t="n"/>
      <c r="H18" s="31" t="n"/>
      <c r="I18" s="26">
        <f>IF(COUNTIF(C18:H18,"&gt;=1")&gt;0,COUNTIF(C18:H18,"&gt;=1")/6,"")</f>
        <v/>
      </c>
    </row>
    <row r="19">
      <c r="A19" s="12" t="inlineStr">
        <is>
          <t>Feb 02</t>
        </is>
      </c>
      <c r="B19" s="29" t="inlineStr">
        <is>
          <t>Mon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Feb 03</t>
        </is>
      </c>
      <c r="B20" s="29" t="inlineStr">
        <is>
          <t>Tue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12" t="inlineStr">
        <is>
          <t>Feb 04</t>
        </is>
      </c>
      <c r="B21" s="29" t="inlineStr">
        <is>
          <t>Wed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12" t="inlineStr">
        <is>
          <t>Feb 05</t>
        </is>
      </c>
      <c r="B22" s="29" t="inlineStr">
        <is>
          <t>Thu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12" t="inlineStr">
        <is>
          <t>Feb 06</t>
        </is>
      </c>
      <c r="B23" s="29" t="inlineStr">
        <is>
          <t>Fri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25" t="inlineStr">
        <is>
          <t>Feb 07</t>
        </is>
      </c>
      <c r="B24" s="13" t="inlineStr">
        <is>
          <t>Sat</t>
        </is>
      </c>
      <c r="C24" s="31" t="n"/>
      <c r="D24" s="31" t="n"/>
      <c r="E24" s="31" t="n"/>
      <c r="F24" s="31" t="n"/>
      <c r="G24" s="31" t="n"/>
      <c r="H24" s="31" t="n"/>
      <c r="I24" s="26">
        <f>IF(COUNTIF(C24:H24,"&gt;=1")&gt;0,COUNTIF(C24:H24,"&gt;=1")/6,"")</f>
        <v/>
      </c>
    </row>
    <row r="25">
      <c r="A25" s="36" t="inlineStr">
        <is>
          <t>Feb 08</t>
        </is>
      </c>
      <c r="B25" s="37" t="inlineStr">
        <is>
          <t>Sun</t>
        </is>
      </c>
      <c r="C25" s="38" t="n"/>
      <c r="D25" s="38" t="n"/>
      <c r="E25" s="38" t="n"/>
      <c r="F25" s="38" t="n"/>
      <c r="G25" s="38" t="n"/>
      <c r="H25" s="38" t="n"/>
      <c r="I25" s="39">
        <f>IF(COUNTIF(C25:H25,"&gt;=1")&gt;0,COUNTIF(C25:H25,"&gt;=1")/6,"")</f>
        <v/>
      </c>
    </row>
    <row r="26">
      <c r="A26" s="12" t="inlineStr">
        <is>
          <t>Feb 09</t>
        </is>
      </c>
      <c r="B26" s="29" t="inlineStr">
        <is>
          <t>Mon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Feb 10</t>
        </is>
      </c>
      <c r="B27" s="29" t="inlineStr">
        <is>
          <t>Tue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12" t="inlineStr">
        <is>
          <t>Feb 11</t>
        </is>
      </c>
      <c r="B28" s="29" t="inlineStr">
        <is>
          <t>Wed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12" t="inlineStr">
        <is>
          <t>Feb 12</t>
        </is>
      </c>
      <c r="B29" s="29" t="inlineStr">
        <is>
          <t>Thu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12" t="inlineStr">
        <is>
          <t>Feb 13</t>
        </is>
      </c>
      <c r="B30" s="29" t="inlineStr">
        <is>
          <t>Fri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25" t="inlineStr">
        <is>
          <t>Feb 14</t>
        </is>
      </c>
      <c r="B31" s="13" t="inlineStr">
        <is>
          <t>Sat</t>
        </is>
      </c>
      <c r="C31" s="31" t="n"/>
      <c r="D31" s="31" t="n"/>
      <c r="E31" s="31" t="n"/>
      <c r="F31" s="31" t="n"/>
      <c r="G31" s="31" t="n"/>
      <c r="H31" s="31" t="n"/>
      <c r="I31" s="26">
        <f>IF(COUNTIF(C31:H31,"&gt;=1")&gt;0,COUNTIF(C31:H31,"&gt;=1")/6,"")</f>
        <v/>
      </c>
    </row>
    <row r="32">
      <c r="A32" s="36" t="inlineStr">
        <is>
          <t>Feb 15</t>
        </is>
      </c>
      <c r="B32" s="37" t="inlineStr">
        <is>
          <t>Sun</t>
        </is>
      </c>
      <c r="C32" s="38" t="n"/>
      <c r="D32" s="38" t="n"/>
      <c r="E32" s="38" t="n"/>
      <c r="F32" s="38" t="n"/>
      <c r="G32" s="38" t="n"/>
      <c r="H32" s="38" t="n"/>
      <c r="I32" s="39">
        <f>IF(COUNTIF(C32:H32,"&gt;=1")&gt;0,COUNTIF(C32:H32,"&gt;=1")/6,"")</f>
        <v/>
      </c>
    </row>
    <row r="33">
      <c r="A33" s="12" t="inlineStr">
        <is>
          <t>Feb 16</t>
        </is>
      </c>
      <c r="B33" s="29" t="inlineStr">
        <is>
          <t>Mon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Feb 17</t>
        </is>
      </c>
      <c r="B34" s="29" t="inlineStr">
        <is>
          <t>Tue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12" t="inlineStr">
        <is>
          <t>Feb 18</t>
        </is>
      </c>
      <c r="B35" s="29" t="inlineStr">
        <is>
          <t>Wed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12" t="inlineStr">
        <is>
          <t>Feb 19</t>
        </is>
      </c>
      <c r="B36" s="29" t="inlineStr">
        <is>
          <t>Thu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12" t="inlineStr">
        <is>
          <t>Feb 20</t>
        </is>
      </c>
      <c r="B37" s="29" t="inlineStr">
        <is>
          <t>Fri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25" t="inlineStr">
        <is>
          <t>Feb 21</t>
        </is>
      </c>
      <c r="B38" s="13" t="inlineStr">
        <is>
          <t>Sat</t>
        </is>
      </c>
      <c r="C38" s="31" t="n"/>
      <c r="D38" s="31" t="n"/>
      <c r="E38" s="31" t="n"/>
      <c r="F38" s="31" t="n"/>
      <c r="G38" s="31" t="n"/>
      <c r="H38" s="31" t="n"/>
      <c r="I38" s="26">
        <f>IF(COUNTIF(C38:H38,"&gt;=1")&gt;0,COUNTIF(C38:H38,"&gt;=1")/6,"")</f>
        <v/>
      </c>
    </row>
    <row r="39">
      <c r="A39" s="36" t="inlineStr">
        <is>
          <t>Feb 22</t>
        </is>
      </c>
      <c r="B39" s="37" t="inlineStr">
        <is>
          <t>Sun</t>
        </is>
      </c>
      <c r="C39" s="38" t="n"/>
      <c r="D39" s="38" t="n"/>
      <c r="E39" s="38" t="n"/>
      <c r="F39" s="38" t="n"/>
      <c r="G39" s="38" t="n"/>
      <c r="H39" s="38" t="n"/>
      <c r="I39" s="39">
        <f>IF(COUNTIF(C39:H39,"&gt;=1")&gt;0,COUNTIF(C39:H39,"&gt;=1")/6,"")</f>
        <v/>
      </c>
    </row>
    <row r="40">
      <c r="A40" s="12" t="inlineStr">
        <is>
          <t>Feb 23</t>
        </is>
      </c>
      <c r="B40" s="29" t="inlineStr">
        <is>
          <t>Mon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Feb 24</t>
        </is>
      </c>
      <c r="B41" s="29" t="inlineStr">
        <is>
          <t>Tue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12" t="inlineStr">
        <is>
          <t>Feb 25</t>
        </is>
      </c>
      <c r="B42" s="29" t="inlineStr">
        <is>
          <t>Wed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12" t="inlineStr">
        <is>
          <t>Feb 26</t>
        </is>
      </c>
      <c r="B43" s="29" t="inlineStr">
        <is>
          <t>Thu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12" t="inlineStr">
        <is>
          <t>Feb 27</t>
        </is>
      </c>
      <c r="B44" s="29" t="inlineStr">
        <is>
          <t>Fri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25" t="inlineStr">
        <is>
          <t>Feb 28</t>
        </is>
      </c>
      <c r="B45" s="13" t="inlineStr">
        <is>
          <t>Sat</t>
        </is>
      </c>
      <c r="C45" s="31" t="n"/>
      <c r="D45" s="31" t="n"/>
      <c r="E45" s="31" t="n"/>
      <c r="F45" s="31" t="n"/>
      <c r="G45" s="31" t="n"/>
      <c r="H45" s="31" t="n"/>
      <c r="I45" s="26">
        <f>IF(COUNTIF(C45:H45,"&gt;=1")&gt;0,COUNTIF(C45:H45,"&gt;=1")/6,"")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5">
    <cfRule type="cellIs" priority="1" operator="equal" dxfId="3">
      <formula>1</formula>
    </cfRule>
  </conditionalFormatting>
  <conditionalFormatting sqref="D18:D45">
    <cfRule type="cellIs" priority="2" operator="equal" dxfId="3">
      <formula>1</formula>
    </cfRule>
  </conditionalFormatting>
  <conditionalFormatting sqref="E18:E45">
    <cfRule type="cellIs" priority="3" operator="equal" dxfId="3">
      <formula>1</formula>
    </cfRule>
  </conditionalFormatting>
  <conditionalFormatting sqref="F18:F45">
    <cfRule type="cellIs" priority="4" operator="equal" dxfId="3">
      <formula>1</formula>
    </cfRule>
  </conditionalFormatting>
  <conditionalFormatting sqref="G18:G45">
    <cfRule type="cellIs" priority="5" operator="equal" dxfId="3">
      <formula>1</formula>
    </cfRule>
  </conditionalFormatting>
  <conditionalFormatting sqref="H18:H45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4:I14">
    <cfRule type="cellIs" priority="19" operator="greaterThanOrEqual" dxfId="0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</sheetPr>
  <dimension ref="A1:I48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MARCH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3</v>
      </c>
      <c r="C11" s="26">
        <f>MIN(COUNTIF(C46:C48,1)/2,1)</f>
        <v/>
      </c>
      <c r="D11" s="26">
        <f>MIN(COUNTIF(D46:D48,1)/2,1)</f>
        <v/>
      </c>
      <c r="E11" s="26">
        <f>MIN(COUNTIF(E46:E48,1)/3,1)</f>
        <v/>
      </c>
      <c r="F11" s="26">
        <f>MIN(COUNTIF(F46:F48,1)/3,1)</f>
        <v/>
      </c>
      <c r="G11" s="26">
        <f>MIN(COUNTIF(G46:G48,1)/3,1)</f>
        <v/>
      </c>
      <c r="H11" s="26">
        <f>MIN(COUNTIF(H46:H48,1)/2,1)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25" t="inlineStr">
        <is>
          <t>Mar 01</t>
        </is>
      </c>
      <c r="B18" s="13" t="inlineStr">
        <is>
          <t>Sun</t>
        </is>
      </c>
      <c r="C18" s="31" t="n"/>
      <c r="D18" s="31" t="n"/>
      <c r="E18" s="31" t="n"/>
      <c r="F18" s="31" t="n"/>
      <c r="G18" s="31" t="n"/>
      <c r="H18" s="31" t="n"/>
      <c r="I18" s="26">
        <f>IF(COUNTIF(C18:H18,"&gt;=1")&gt;0,COUNTIF(C18:H18,"&gt;=1")/6,"")</f>
        <v/>
      </c>
    </row>
    <row r="19">
      <c r="A19" s="12" t="inlineStr">
        <is>
          <t>Mar 02</t>
        </is>
      </c>
      <c r="B19" s="29" t="inlineStr">
        <is>
          <t>Mon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Mar 03</t>
        </is>
      </c>
      <c r="B20" s="29" t="inlineStr">
        <is>
          <t>Tue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12" t="inlineStr">
        <is>
          <t>Mar 04</t>
        </is>
      </c>
      <c r="B21" s="29" t="inlineStr">
        <is>
          <t>Wed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12" t="inlineStr">
        <is>
          <t>Mar 05</t>
        </is>
      </c>
      <c r="B22" s="29" t="inlineStr">
        <is>
          <t>Thu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12" t="inlineStr">
        <is>
          <t>Mar 06</t>
        </is>
      </c>
      <c r="B23" s="29" t="inlineStr">
        <is>
          <t>Fri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25" t="inlineStr">
        <is>
          <t>Mar 07</t>
        </is>
      </c>
      <c r="B24" s="13" t="inlineStr">
        <is>
          <t>Sat</t>
        </is>
      </c>
      <c r="C24" s="31" t="n"/>
      <c r="D24" s="31" t="n"/>
      <c r="E24" s="31" t="n"/>
      <c r="F24" s="31" t="n"/>
      <c r="G24" s="31" t="n"/>
      <c r="H24" s="31" t="n"/>
      <c r="I24" s="26">
        <f>IF(COUNTIF(C24:H24,"&gt;=1")&gt;0,COUNTIF(C24:H24,"&gt;=1")/6,"")</f>
        <v/>
      </c>
    </row>
    <row r="25">
      <c r="A25" s="36" t="inlineStr">
        <is>
          <t>Mar 08</t>
        </is>
      </c>
      <c r="B25" s="37" t="inlineStr">
        <is>
          <t>Sun</t>
        </is>
      </c>
      <c r="C25" s="38" t="n"/>
      <c r="D25" s="38" t="n"/>
      <c r="E25" s="38" t="n"/>
      <c r="F25" s="38" t="n"/>
      <c r="G25" s="38" t="n"/>
      <c r="H25" s="38" t="n"/>
      <c r="I25" s="39">
        <f>IF(COUNTIF(C25:H25,"&gt;=1")&gt;0,COUNTIF(C25:H25,"&gt;=1")/6,"")</f>
        <v/>
      </c>
    </row>
    <row r="26">
      <c r="A26" s="12" t="inlineStr">
        <is>
          <t>Mar 09</t>
        </is>
      </c>
      <c r="B26" s="29" t="inlineStr">
        <is>
          <t>Mon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Mar 10</t>
        </is>
      </c>
      <c r="B27" s="29" t="inlineStr">
        <is>
          <t>Tue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12" t="inlineStr">
        <is>
          <t>Mar 11</t>
        </is>
      </c>
      <c r="B28" s="29" t="inlineStr">
        <is>
          <t>Wed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12" t="inlineStr">
        <is>
          <t>Mar 12</t>
        </is>
      </c>
      <c r="B29" s="29" t="inlineStr">
        <is>
          <t>Thu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12" t="inlineStr">
        <is>
          <t>Mar 13</t>
        </is>
      </c>
      <c r="B30" s="29" t="inlineStr">
        <is>
          <t>Fri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25" t="inlineStr">
        <is>
          <t>Mar 14</t>
        </is>
      </c>
      <c r="B31" s="13" t="inlineStr">
        <is>
          <t>Sat</t>
        </is>
      </c>
      <c r="C31" s="31" t="n"/>
      <c r="D31" s="31" t="n"/>
      <c r="E31" s="31" t="n"/>
      <c r="F31" s="31" t="n"/>
      <c r="G31" s="31" t="n"/>
      <c r="H31" s="31" t="n"/>
      <c r="I31" s="26">
        <f>IF(COUNTIF(C31:H31,"&gt;=1")&gt;0,COUNTIF(C31:H31,"&gt;=1")/6,"")</f>
        <v/>
      </c>
    </row>
    <row r="32">
      <c r="A32" s="36" t="inlineStr">
        <is>
          <t>Mar 15</t>
        </is>
      </c>
      <c r="B32" s="37" t="inlineStr">
        <is>
          <t>Sun</t>
        </is>
      </c>
      <c r="C32" s="38" t="n"/>
      <c r="D32" s="38" t="n"/>
      <c r="E32" s="38" t="n"/>
      <c r="F32" s="38" t="n"/>
      <c r="G32" s="38" t="n"/>
      <c r="H32" s="38" t="n"/>
      <c r="I32" s="39">
        <f>IF(COUNTIF(C32:H32,"&gt;=1")&gt;0,COUNTIF(C32:H32,"&gt;=1")/6,"")</f>
        <v/>
      </c>
    </row>
    <row r="33">
      <c r="A33" s="12" t="inlineStr">
        <is>
          <t>Mar 16</t>
        </is>
      </c>
      <c r="B33" s="29" t="inlineStr">
        <is>
          <t>Mon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Mar 17</t>
        </is>
      </c>
      <c r="B34" s="29" t="inlineStr">
        <is>
          <t>Tue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12" t="inlineStr">
        <is>
          <t>Mar 18</t>
        </is>
      </c>
      <c r="B35" s="29" t="inlineStr">
        <is>
          <t>Wed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12" t="inlineStr">
        <is>
          <t>Mar 19</t>
        </is>
      </c>
      <c r="B36" s="29" t="inlineStr">
        <is>
          <t>Thu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12" t="inlineStr">
        <is>
          <t>Mar 20</t>
        </is>
      </c>
      <c r="B37" s="29" t="inlineStr">
        <is>
          <t>Fri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25" t="inlineStr">
        <is>
          <t>Mar 21</t>
        </is>
      </c>
      <c r="B38" s="13" t="inlineStr">
        <is>
          <t>Sat</t>
        </is>
      </c>
      <c r="C38" s="31" t="n"/>
      <c r="D38" s="31" t="n"/>
      <c r="E38" s="31" t="n"/>
      <c r="F38" s="31" t="n"/>
      <c r="G38" s="31" t="n"/>
      <c r="H38" s="31" t="n"/>
      <c r="I38" s="26">
        <f>IF(COUNTIF(C38:H38,"&gt;=1")&gt;0,COUNTIF(C38:H38,"&gt;=1")/6,"")</f>
        <v/>
      </c>
    </row>
    <row r="39">
      <c r="A39" s="36" t="inlineStr">
        <is>
          <t>Mar 22</t>
        </is>
      </c>
      <c r="B39" s="37" t="inlineStr">
        <is>
          <t>Sun</t>
        </is>
      </c>
      <c r="C39" s="38" t="n"/>
      <c r="D39" s="38" t="n"/>
      <c r="E39" s="38" t="n"/>
      <c r="F39" s="38" t="n"/>
      <c r="G39" s="38" t="n"/>
      <c r="H39" s="38" t="n"/>
      <c r="I39" s="39">
        <f>IF(COUNTIF(C39:H39,"&gt;=1")&gt;0,COUNTIF(C39:H39,"&gt;=1")/6,"")</f>
        <v/>
      </c>
    </row>
    <row r="40">
      <c r="A40" s="12" t="inlineStr">
        <is>
          <t>Mar 23</t>
        </is>
      </c>
      <c r="B40" s="29" t="inlineStr">
        <is>
          <t>Mon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Mar 24</t>
        </is>
      </c>
      <c r="B41" s="29" t="inlineStr">
        <is>
          <t>Tue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12" t="inlineStr">
        <is>
          <t>Mar 25</t>
        </is>
      </c>
      <c r="B42" s="29" t="inlineStr">
        <is>
          <t>Wed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12" t="inlineStr">
        <is>
          <t>Mar 26</t>
        </is>
      </c>
      <c r="B43" s="29" t="inlineStr">
        <is>
          <t>Thu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12" t="inlineStr">
        <is>
          <t>Mar 27</t>
        </is>
      </c>
      <c r="B44" s="29" t="inlineStr">
        <is>
          <t>Fri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25" t="inlineStr">
        <is>
          <t>Mar 28</t>
        </is>
      </c>
      <c r="B45" s="13" t="inlineStr">
        <is>
          <t>Sat</t>
        </is>
      </c>
      <c r="C45" s="31" t="n"/>
      <c r="D45" s="31" t="n"/>
      <c r="E45" s="31" t="n"/>
      <c r="F45" s="31" t="n"/>
      <c r="G45" s="31" t="n"/>
      <c r="H45" s="31" t="n"/>
      <c r="I45" s="26">
        <f>IF(COUNTIF(C45:H45,"&gt;=1")&gt;0,COUNTIF(C45:H45,"&gt;=1")/6,"")</f>
        <v/>
      </c>
    </row>
    <row r="46">
      <c r="A46" s="36" t="inlineStr">
        <is>
          <t>Mar 29</t>
        </is>
      </c>
      <c r="B46" s="37" t="inlineStr">
        <is>
          <t>Sun</t>
        </is>
      </c>
      <c r="C46" s="38" t="n"/>
      <c r="D46" s="38" t="n"/>
      <c r="E46" s="38" t="n"/>
      <c r="F46" s="38" t="n"/>
      <c r="G46" s="38" t="n"/>
      <c r="H46" s="38" t="n"/>
      <c r="I46" s="39">
        <f>IF(COUNTIF(C46:H46,"&gt;=1")&gt;0,COUNTIF(C46:H46,"&gt;=1")/6,"")</f>
        <v/>
      </c>
    </row>
    <row r="47">
      <c r="A47" s="12" t="inlineStr">
        <is>
          <t>Mar 30</t>
        </is>
      </c>
      <c r="B47" s="29" t="inlineStr">
        <is>
          <t>Mon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  <row r="48">
      <c r="A48" s="12" t="inlineStr">
        <is>
          <t>Mar 31</t>
        </is>
      </c>
      <c r="B48" s="29" t="inlineStr">
        <is>
          <t>Tue</t>
        </is>
      </c>
      <c r="C48" s="30" t="n"/>
      <c r="D48" s="30" t="n"/>
      <c r="E48" s="30" t="n"/>
      <c r="F48" s="30" t="n"/>
      <c r="G48" s="30" t="n"/>
      <c r="H48" s="30" t="n"/>
      <c r="I48" s="14">
        <f>IF(COUNTIF(C48:H48,"&gt;=1")&gt;0,COUNTIF(C48:H48,"&gt;=1")/6,"")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8">
    <cfRule type="cellIs" priority="1" operator="equal" dxfId="3">
      <formula>1</formula>
    </cfRule>
  </conditionalFormatting>
  <conditionalFormatting sqref="D18:D48">
    <cfRule type="cellIs" priority="2" operator="equal" dxfId="3">
      <formula>1</formula>
    </cfRule>
  </conditionalFormatting>
  <conditionalFormatting sqref="E18:E48">
    <cfRule type="cellIs" priority="3" operator="equal" dxfId="3">
      <formula>1</formula>
    </cfRule>
  </conditionalFormatting>
  <conditionalFormatting sqref="F18:F48">
    <cfRule type="cellIs" priority="4" operator="equal" dxfId="3">
      <formula>1</formula>
    </cfRule>
  </conditionalFormatting>
  <conditionalFormatting sqref="G18:G48">
    <cfRule type="cellIs" priority="5" operator="equal" dxfId="3">
      <formula>1</formula>
    </cfRule>
  </conditionalFormatting>
  <conditionalFormatting sqref="H18:H48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</sheetPr>
  <dimension ref="A1:I47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APRIL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2</v>
      </c>
      <c r="C11" s="26">
        <f>MIN(COUNTIF(C46:C47,1)/1,1)</f>
        <v/>
      </c>
      <c r="D11" s="26">
        <f>MIN(COUNTIF(D46:D47,1)/1,1)</f>
        <v/>
      </c>
      <c r="E11" s="26">
        <f>MIN(COUNTIF(E46:E47,1)/2,1)</f>
        <v/>
      </c>
      <c r="F11" s="26">
        <f>MIN(COUNTIF(F46:F47,1)/2,1)</f>
        <v/>
      </c>
      <c r="G11" s="26">
        <f>MIN(COUNTIF(G46:G47,1)/2,1)</f>
        <v/>
      </c>
      <c r="H11" s="26">
        <f>MIN(COUNTIF(H46:H47,1)/1,1)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Apr 01</t>
        </is>
      </c>
      <c r="B18" s="29" t="inlineStr">
        <is>
          <t>Wed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12" t="inlineStr">
        <is>
          <t>Apr 02</t>
        </is>
      </c>
      <c r="B19" s="29" t="inlineStr">
        <is>
          <t>Thu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Apr 03</t>
        </is>
      </c>
      <c r="B20" s="29" t="inlineStr">
        <is>
          <t>Fri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25" t="inlineStr">
        <is>
          <t>Apr 04</t>
        </is>
      </c>
      <c r="B21" s="13" t="inlineStr">
        <is>
          <t>Sat</t>
        </is>
      </c>
      <c r="C21" s="31" t="n"/>
      <c r="D21" s="31" t="n"/>
      <c r="E21" s="31" t="n"/>
      <c r="F21" s="31" t="n"/>
      <c r="G21" s="31" t="n"/>
      <c r="H21" s="31" t="n"/>
      <c r="I21" s="26">
        <f>IF(COUNTIF(C21:H21,"&gt;=1")&gt;0,COUNTIF(C21:H21,"&gt;=1")/6,"")</f>
        <v/>
      </c>
    </row>
    <row r="22">
      <c r="A22" s="25" t="inlineStr">
        <is>
          <t>Apr 05</t>
        </is>
      </c>
      <c r="B22" s="13" t="inlineStr">
        <is>
          <t>Sun</t>
        </is>
      </c>
      <c r="C22" s="31" t="n"/>
      <c r="D22" s="31" t="n"/>
      <c r="E22" s="31" t="n"/>
      <c r="F22" s="31" t="n"/>
      <c r="G22" s="31" t="n"/>
      <c r="H22" s="31" t="n"/>
      <c r="I22" s="26">
        <f>IF(COUNTIF(C22:H22,"&gt;=1")&gt;0,COUNTIF(C22:H22,"&gt;=1")/6,"")</f>
        <v/>
      </c>
    </row>
    <row r="23">
      <c r="A23" s="12" t="inlineStr">
        <is>
          <t>Apr 06</t>
        </is>
      </c>
      <c r="B23" s="29" t="inlineStr">
        <is>
          <t>Mon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12" t="inlineStr">
        <is>
          <t>Apr 07</t>
        </is>
      </c>
      <c r="B24" s="29" t="inlineStr">
        <is>
          <t>Tue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2" t="inlineStr">
        <is>
          <t>Apr 08</t>
        </is>
      </c>
      <c r="B25" s="33" t="inlineStr">
        <is>
          <t>Wed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12" t="inlineStr">
        <is>
          <t>Apr 09</t>
        </is>
      </c>
      <c r="B26" s="29" t="inlineStr">
        <is>
          <t>Thu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Apr 10</t>
        </is>
      </c>
      <c r="B27" s="29" t="inlineStr">
        <is>
          <t>Fri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25" t="inlineStr">
        <is>
          <t>Apr 11</t>
        </is>
      </c>
      <c r="B28" s="13" t="inlineStr">
        <is>
          <t>Sat</t>
        </is>
      </c>
      <c r="C28" s="31" t="n"/>
      <c r="D28" s="31" t="n"/>
      <c r="E28" s="31" t="n"/>
      <c r="F28" s="31" t="n"/>
      <c r="G28" s="31" t="n"/>
      <c r="H28" s="31" t="n"/>
      <c r="I28" s="26">
        <f>IF(COUNTIF(C28:H28,"&gt;=1")&gt;0,COUNTIF(C28:H28,"&gt;=1")/6,"")</f>
        <v/>
      </c>
    </row>
    <row r="29">
      <c r="A29" s="25" t="inlineStr">
        <is>
          <t>Apr 12</t>
        </is>
      </c>
      <c r="B29" s="13" t="inlineStr">
        <is>
          <t>Sun</t>
        </is>
      </c>
      <c r="C29" s="31" t="n"/>
      <c r="D29" s="31" t="n"/>
      <c r="E29" s="31" t="n"/>
      <c r="F29" s="31" t="n"/>
      <c r="G29" s="31" t="n"/>
      <c r="H29" s="31" t="n"/>
      <c r="I29" s="26">
        <f>IF(COUNTIF(C29:H29,"&gt;=1")&gt;0,COUNTIF(C29:H29,"&gt;=1")/6,"")</f>
        <v/>
      </c>
    </row>
    <row r="30">
      <c r="A30" s="12" t="inlineStr">
        <is>
          <t>Apr 13</t>
        </is>
      </c>
      <c r="B30" s="29" t="inlineStr">
        <is>
          <t>Mon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12" t="inlineStr">
        <is>
          <t>Apr 14</t>
        </is>
      </c>
      <c r="B31" s="29" t="inlineStr">
        <is>
          <t>Tue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2" t="inlineStr">
        <is>
          <t>Apr 15</t>
        </is>
      </c>
      <c r="B32" s="33" t="inlineStr">
        <is>
          <t>Wed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12" t="inlineStr">
        <is>
          <t>Apr 16</t>
        </is>
      </c>
      <c r="B33" s="29" t="inlineStr">
        <is>
          <t>Thu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Apr 17</t>
        </is>
      </c>
      <c r="B34" s="29" t="inlineStr">
        <is>
          <t>Fri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25" t="inlineStr">
        <is>
          <t>Apr 18</t>
        </is>
      </c>
      <c r="B35" s="13" t="inlineStr">
        <is>
          <t>Sat</t>
        </is>
      </c>
      <c r="C35" s="31" t="n"/>
      <c r="D35" s="31" t="n"/>
      <c r="E35" s="31" t="n"/>
      <c r="F35" s="31" t="n"/>
      <c r="G35" s="31" t="n"/>
      <c r="H35" s="31" t="n"/>
      <c r="I35" s="26">
        <f>IF(COUNTIF(C35:H35,"&gt;=1")&gt;0,COUNTIF(C35:H35,"&gt;=1")/6,"")</f>
        <v/>
      </c>
    </row>
    <row r="36">
      <c r="A36" s="25" t="inlineStr">
        <is>
          <t>Apr 19</t>
        </is>
      </c>
      <c r="B36" s="13" t="inlineStr">
        <is>
          <t>Sun</t>
        </is>
      </c>
      <c r="C36" s="31" t="n"/>
      <c r="D36" s="31" t="n"/>
      <c r="E36" s="31" t="n"/>
      <c r="F36" s="31" t="n"/>
      <c r="G36" s="31" t="n"/>
      <c r="H36" s="31" t="n"/>
      <c r="I36" s="26">
        <f>IF(COUNTIF(C36:H36,"&gt;=1")&gt;0,COUNTIF(C36:H36,"&gt;=1")/6,"")</f>
        <v/>
      </c>
    </row>
    <row r="37">
      <c r="A37" s="12" t="inlineStr">
        <is>
          <t>Apr 20</t>
        </is>
      </c>
      <c r="B37" s="29" t="inlineStr">
        <is>
          <t>Mon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12" t="inlineStr">
        <is>
          <t>Apr 21</t>
        </is>
      </c>
      <c r="B38" s="29" t="inlineStr">
        <is>
          <t>Tue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2" t="inlineStr">
        <is>
          <t>Apr 22</t>
        </is>
      </c>
      <c r="B39" s="33" t="inlineStr">
        <is>
          <t>Wed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12" t="inlineStr">
        <is>
          <t>Apr 23</t>
        </is>
      </c>
      <c r="B40" s="29" t="inlineStr">
        <is>
          <t>Thu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Apr 24</t>
        </is>
      </c>
      <c r="B41" s="29" t="inlineStr">
        <is>
          <t>Fri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25" t="inlineStr">
        <is>
          <t>Apr 25</t>
        </is>
      </c>
      <c r="B42" s="13" t="inlineStr">
        <is>
          <t>Sat</t>
        </is>
      </c>
      <c r="C42" s="31" t="n"/>
      <c r="D42" s="31" t="n"/>
      <c r="E42" s="31" t="n"/>
      <c r="F42" s="31" t="n"/>
      <c r="G42" s="31" t="n"/>
      <c r="H42" s="31" t="n"/>
      <c r="I42" s="26">
        <f>IF(COUNTIF(C42:H42,"&gt;=1")&gt;0,COUNTIF(C42:H42,"&gt;=1")/6,"")</f>
        <v/>
      </c>
    </row>
    <row r="43">
      <c r="A43" s="25" t="inlineStr">
        <is>
          <t>Apr 26</t>
        </is>
      </c>
      <c r="B43" s="13" t="inlineStr">
        <is>
          <t>Sun</t>
        </is>
      </c>
      <c r="C43" s="31" t="n"/>
      <c r="D43" s="31" t="n"/>
      <c r="E43" s="31" t="n"/>
      <c r="F43" s="31" t="n"/>
      <c r="G43" s="31" t="n"/>
      <c r="H43" s="31" t="n"/>
      <c r="I43" s="26">
        <f>IF(COUNTIF(C43:H43,"&gt;=1")&gt;0,COUNTIF(C43:H43,"&gt;=1")/6,"")</f>
        <v/>
      </c>
    </row>
    <row r="44">
      <c r="A44" s="12" t="inlineStr">
        <is>
          <t>Apr 27</t>
        </is>
      </c>
      <c r="B44" s="29" t="inlineStr">
        <is>
          <t>Mon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12" t="inlineStr">
        <is>
          <t>Apr 28</t>
        </is>
      </c>
      <c r="B45" s="29" t="inlineStr">
        <is>
          <t>Tue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2" t="inlineStr">
        <is>
          <t>Apr 29</t>
        </is>
      </c>
      <c r="B46" s="33" t="inlineStr">
        <is>
          <t>Wed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12" t="inlineStr">
        <is>
          <t>Apr 30</t>
        </is>
      </c>
      <c r="B47" s="29" t="inlineStr">
        <is>
          <t>Thu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7">
    <cfRule type="cellIs" priority="1" operator="equal" dxfId="3">
      <formula>1</formula>
    </cfRule>
  </conditionalFormatting>
  <conditionalFormatting sqref="D18:D47">
    <cfRule type="cellIs" priority="2" operator="equal" dxfId="3">
      <formula>1</formula>
    </cfRule>
  </conditionalFormatting>
  <conditionalFormatting sqref="E18:E47">
    <cfRule type="cellIs" priority="3" operator="equal" dxfId="3">
      <formula>1</formula>
    </cfRule>
  </conditionalFormatting>
  <conditionalFormatting sqref="F18:F47">
    <cfRule type="cellIs" priority="4" operator="equal" dxfId="3">
      <formula>1</formula>
    </cfRule>
  </conditionalFormatting>
  <conditionalFormatting sqref="G18:G47">
    <cfRule type="cellIs" priority="5" operator="equal" dxfId="3">
      <formula>1</formula>
    </cfRule>
  </conditionalFormatting>
  <conditionalFormatting sqref="H18:H47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32"/>
    <outlinePr summaryBelow="1" summaryRight="1"/>
  </sheetPr>
  <dimension ref="A1:I48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MAY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3</v>
      </c>
      <c r="C11" s="26">
        <f>MIN(COUNTIF(C46:C48,1)/2,1)</f>
        <v/>
      </c>
      <c r="D11" s="26">
        <f>MIN(COUNTIF(D46:D48,1)/2,1)</f>
        <v/>
      </c>
      <c r="E11" s="26">
        <f>MIN(COUNTIF(E46:E48,1)/3,1)</f>
        <v/>
      </c>
      <c r="F11" s="26">
        <f>MIN(COUNTIF(F46:F48,1)/3,1)</f>
        <v/>
      </c>
      <c r="G11" s="26">
        <f>MIN(COUNTIF(G46:G48,1)/3,1)</f>
        <v/>
      </c>
      <c r="H11" s="26">
        <f>MIN(COUNTIF(H46:H48,1)/2,1)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May 01</t>
        </is>
      </c>
      <c r="B18" s="29" t="inlineStr">
        <is>
          <t>Fri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25" t="inlineStr">
        <is>
          <t>May 02</t>
        </is>
      </c>
      <c r="B19" s="13" t="inlineStr">
        <is>
          <t>Sat</t>
        </is>
      </c>
      <c r="C19" s="31" t="n"/>
      <c r="D19" s="31" t="n"/>
      <c r="E19" s="31" t="n"/>
      <c r="F19" s="31" t="n"/>
      <c r="G19" s="31" t="n"/>
      <c r="H19" s="31" t="n"/>
      <c r="I19" s="26">
        <f>IF(COUNTIF(C19:H19,"&gt;=1")&gt;0,COUNTIF(C19:H19,"&gt;=1")/6,"")</f>
        <v/>
      </c>
    </row>
    <row r="20">
      <c r="A20" s="25" t="inlineStr">
        <is>
          <t>May 03</t>
        </is>
      </c>
      <c r="B20" s="13" t="inlineStr">
        <is>
          <t>Sun</t>
        </is>
      </c>
      <c r="C20" s="31" t="n"/>
      <c r="D20" s="31" t="n"/>
      <c r="E20" s="31" t="n"/>
      <c r="F20" s="31" t="n"/>
      <c r="G20" s="31" t="n"/>
      <c r="H20" s="31" t="n"/>
      <c r="I20" s="26">
        <f>IF(COUNTIF(C20:H20,"&gt;=1")&gt;0,COUNTIF(C20:H20,"&gt;=1")/6,"")</f>
        <v/>
      </c>
    </row>
    <row r="21">
      <c r="A21" s="12" t="inlineStr">
        <is>
          <t>May 04</t>
        </is>
      </c>
      <c r="B21" s="29" t="inlineStr">
        <is>
          <t>Mon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12" t="inlineStr">
        <is>
          <t>May 05</t>
        </is>
      </c>
      <c r="B22" s="29" t="inlineStr">
        <is>
          <t>Tue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12" t="inlineStr">
        <is>
          <t>May 06</t>
        </is>
      </c>
      <c r="B23" s="29" t="inlineStr">
        <is>
          <t>Wed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12" t="inlineStr">
        <is>
          <t>May 07</t>
        </is>
      </c>
      <c r="B24" s="29" t="inlineStr">
        <is>
          <t>Thu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2" t="inlineStr">
        <is>
          <t>May 08</t>
        </is>
      </c>
      <c r="B25" s="33" t="inlineStr">
        <is>
          <t>Fri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25" t="inlineStr">
        <is>
          <t>May 09</t>
        </is>
      </c>
      <c r="B26" s="13" t="inlineStr">
        <is>
          <t>Sat</t>
        </is>
      </c>
      <c r="C26" s="31" t="n"/>
      <c r="D26" s="31" t="n"/>
      <c r="E26" s="31" t="n"/>
      <c r="F26" s="31" t="n"/>
      <c r="G26" s="31" t="n"/>
      <c r="H26" s="31" t="n"/>
      <c r="I26" s="26">
        <f>IF(COUNTIF(C26:H26,"&gt;=1")&gt;0,COUNTIF(C26:H26,"&gt;=1")/6,"")</f>
        <v/>
      </c>
    </row>
    <row r="27">
      <c r="A27" s="25" t="inlineStr">
        <is>
          <t>May 10</t>
        </is>
      </c>
      <c r="B27" s="13" t="inlineStr">
        <is>
          <t>Sun</t>
        </is>
      </c>
      <c r="C27" s="31" t="n"/>
      <c r="D27" s="31" t="n"/>
      <c r="E27" s="31" t="n"/>
      <c r="F27" s="31" t="n"/>
      <c r="G27" s="31" t="n"/>
      <c r="H27" s="31" t="n"/>
      <c r="I27" s="26">
        <f>IF(COUNTIF(C27:H27,"&gt;=1")&gt;0,COUNTIF(C27:H27,"&gt;=1")/6,"")</f>
        <v/>
      </c>
    </row>
    <row r="28">
      <c r="A28" s="12" t="inlineStr">
        <is>
          <t>May 11</t>
        </is>
      </c>
      <c r="B28" s="29" t="inlineStr">
        <is>
          <t>Mon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12" t="inlineStr">
        <is>
          <t>May 12</t>
        </is>
      </c>
      <c r="B29" s="29" t="inlineStr">
        <is>
          <t>Tue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12" t="inlineStr">
        <is>
          <t>May 13</t>
        </is>
      </c>
      <c r="B30" s="29" t="inlineStr">
        <is>
          <t>Wed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12" t="inlineStr">
        <is>
          <t>May 14</t>
        </is>
      </c>
      <c r="B31" s="29" t="inlineStr">
        <is>
          <t>Thu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2" t="inlineStr">
        <is>
          <t>May 15</t>
        </is>
      </c>
      <c r="B32" s="33" t="inlineStr">
        <is>
          <t>Fri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25" t="inlineStr">
        <is>
          <t>May 16</t>
        </is>
      </c>
      <c r="B33" s="13" t="inlineStr">
        <is>
          <t>Sat</t>
        </is>
      </c>
      <c r="C33" s="31" t="n"/>
      <c r="D33" s="31" t="n"/>
      <c r="E33" s="31" t="n"/>
      <c r="F33" s="31" t="n"/>
      <c r="G33" s="31" t="n"/>
      <c r="H33" s="31" t="n"/>
      <c r="I33" s="26">
        <f>IF(COUNTIF(C33:H33,"&gt;=1")&gt;0,COUNTIF(C33:H33,"&gt;=1")/6,"")</f>
        <v/>
      </c>
    </row>
    <row r="34">
      <c r="A34" s="25" t="inlineStr">
        <is>
          <t>May 17</t>
        </is>
      </c>
      <c r="B34" s="13" t="inlineStr">
        <is>
          <t>Sun</t>
        </is>
      </c>
      <c r="C34" s="31" t="n"/>
      <c r="D34" s="31" t="n"/>
      <c r="E34" s="31" t="n"/>
      <c r="F34" s="31" t="n"/>
      <c r="G34" s="31" t="n"/>
      <c r="H34" s="31" t="n"/>
      <c r="I34" s="26">
        <f>IF(COUNTIF(C34:H34,"&gt;=1")&gt;0,COUNTIF(C34:H34,"&gt;=1")/6,"")</f>
        <v/>
      </c>
    </row>
    <row r="35">
      <c r="A35" s="12" t="inlineStr">
        <is>
          <t>May 18</t>
        </is>
      </c>
      <c r="B35" s="29" t="inlineStr">
        <is>
          <t>Mon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12" t="inlineStr">
        <is>
          <t>May 19</t>
        </is>
      </c>
      <c r="B36" s="29" t="inlineStr">
        <is>
          <t>Tue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12" t="inlineStr">
        <is>
          <t>May 20</t>
        </is>
      </c>
      <c r="B37" s="29" t="inlineStr">
        <is>
          <t>Wed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12" t="inlineStr">
        <is>
          <t>May 21</t>
        </is>
      </c>
      <c r="B38" s="29" t="inlineStr">
        <is>
          <t>Thu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2" t="inlineStr">
        <is>
          <t>May 22</t>
        </is>
      </c>
      <c r="B39" s="33" t="inlineStr">
        <is>
          <t>Fri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25" t="inlineStr">
        <is>
          <t>May 23</t>
        </is>
      </c>
      <c r="B40" s="13" t="inlineStr">
        <is>
          <t>Sat</t>
        </is>
      </c>
      <c r="C40" s="31" t="n"/>
      <c r="D40" s="31" t="n"/>
      <c r="E40" s="31" t="n"/>
      <c r="F40" s="31" t="n"/>
      <c r="G40" s="31" t="n"/>
      <c r="H40" s="31" t="n"/>
      <c r="I40" s="26">
        <f>IF(COUNTIF(C40:H40,"&gt;=1")&gt;0,COUNTIF(C40:H40,"&gt;=1")/6,"")</f>
        <v/>
      </c>
    </row>
    <row r="41">
      <c r="A41" s="25" t="inlineStr">
        <is>
          <t>May 24</t>
        </is>
      </c>
      <c r="B41" s="13" t="inlineStr">
        <is>
          <t>Sun</t>
        </is>
      </c>
      <c r="C41" s="31" t="n"/>
      <c r="D41" s="31" t="n"/>
      <c r="E41" s="31" t="n"/>
      <c r="F41" s="31" t="n"/>
      <c r="G41" s="31" t="n"/>
      <c r="H41" s="31" t="n"/>
      <c r="I41" s="26">
        <f>IF(COUNTIF(C41:H41,"&gt;=1")&gt;0,COUNTIF(C41:H41,"&gt;=1")/6,"")</f>
        <v/>
      </c>
    </row>
    <row r="42">
      <c r="A42" s="12" t="inlineStr">
        <is>
          <t>May 25</t>
        </is>
      </c>
      <c r="B42" s="29" t="inlineStr">
        <is>
          <t>Mon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12" t="inlineStr">
        <is>
          <t>May 26</t>
        </is>
      </c>
      <c r="B43" s="29" t="inlineStr">
        <is>
          <t>Tue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12" t="inlineStr">
        <is>
          <t>May 27</t>
        </is>
      </c>
      <c r="B44" s="29" t="inlineStr">
        <is>
          <t>Wed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12" t="inlineStr">
        <is>
          <t>May 28</t>
        </is>
      </c>
      <c r="B45" s="29" t="inlineStr">
        <is>
          <t>Thu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2" t="inlineStr">
        <is>
          <t>May 29</t>
        </is>
      </c>
      <c r="B46" s="33" t="inlineStr">
        <is>
          <t>Fri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25" t="inlineStr">
        <is>
          <t>May 30</t>
        </is>
      </c>
      <c r="B47" s="13" t="inlineStr">
        <is>
          <t>Sat</t>
        </is>
      </c>
      <c r="C47" s="31" t="n"/>
      <c r="D47" s="31" t="n"/>
      <c r="E47" s="31" t="n"/>
      <c r="F47" s="31" t="n"/>
      <c r="G47" s="31" t="n"/>
      <c r="H47" s="31" t="n"/>
      <c r="I47" s="26">
        <f>IF(COUNTIF(C47:H47,"&gt;=1")&gt;0,COUNTIF(C47:H47,"&gt;=1")/6,"")</f>
        <v/>
      </c>
    </row>
    <row r="48">
      <c r="A48" s="25" t="inlineStr">
        <is>
          <t>May 31</t>
        </is>
      </c>
      <c r="B48" s="13" t="inlineStr">
        <is>
          <t>Sun</t>
        </is>
      </c>
      <c r="C48" s="31" t="n"/>
      <c r="D48" s="31" t="n"/>
      <c r="E48" s="31" t="n"/>
      <c r="F48" s="31" t="n"/>
      <c r="G48" s="31" t="n"/>
      <c r="H48" s="31" t="n"/>
      <c r="I48" s="26">
        <f>IF(COUNTIF(C48:H48,"&gt;=1")&gt;0,COUNTIF(C48:H48,"&gt;=1")/6,"")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8">
    <cfRule type="cellIs" priority="1" operator="equal" dxfId="3">
      <formula>1</formula>
    </cfRule>
  </conditionalFormatting>
  <conditionalFormatting sqref="D18:D48">
    <cfRule type="cellIs" priority="2" operator="equal" dxfId="3">
      <formula>1</formula>
    </cfRule>
  </conditionalFormatting>
  <conditionalFormatting sqref="E18:E48">
    <cfRule type="cellIs" priority="3" operator="equal" dxfId="3">
      <formula>1</formula>
    </cfRule>
  </conditionalFormatting>
  <conditionalFormatting sqref="F18:F48">
    <cfRule type="cellIs" priority="4" operator="equal" dxfId="3">
      <formula>1</formula>
    </cfRule>
  </conditionalFormatting>
  <conditionalFormatting sqref="G18:G48">
    <cfRule type="cellIs" priority="5" operator="equal" dxfId="3">
      <formula>1</formula>
    </cfRule>
  </conditionalFormatting>
  <conditionalFormatting sqref="H18:H48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D32"/>
    <outlinePr summaryBelow="1" summaryRight="1"/>
  </sheetPr>
  <dimension ref="A1:I47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JUNE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2</v>
      </c>
      <c r="C11" s="26">
        <f>MIN(COUNTIF(C46:C47,1)/1,1)</f>
        <v/>
      </c>
      <c r="D11" s="26">
        <f>MIN(COUNTIF(D46:D47,1)/1,1)</f>
        <v/>
      </c>
      <c r="E11" s="26">
        <f>MIN(COUNTIF(E46:E47,1)/2,1)</f>
        <v/>
      </c>
      <c r="F11" s="26">
        <f>MIN(COUNTIF(F46:F47,1)/2,1)</f>
        <v/>
      </c>
      <c r="G11" s="26">
        <f>MIN(COUNTIF(G46:G47,1)/2,1)</f>
        <v/>
      </c>
      <c r="H11" s="26">
        <f>MIN(COUNTIF(H46:H47,1)/1,1)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Jun 01</t>
        </is>
      </c>
      <c r="B18" s="29" t="inlineStr">
        <is>
          <t>Mon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12" t="inlineStr">
        <is>
          <t>Jun 02</t>
        </is>
      </c>
      <c r="B19" s="29" t="inlineStr">
        <is>
          <t>Tue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Jun 03</t>
        </is>
      </c>
      <c r="B20" s="29" t="inlineStr">
        <is>
          <t>Wed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12" t="inlineStr">
        <is>
          <t>Jun 04</t>
        </is>
      </c>
      <c r="B21" s="29" t="inlineStr">
        <is>
          <t>Thu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12" t="inlineStr">
        <is>
          <t>Jun 05</t>
        </is>
      </c>
      <c r="B22" s="29" t="inlineStr">
        <is>
          <t>Fri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25" t="inlineStr">
        <is>
          <t>Jun 06</t>
        </is>
      </c>
      <c r="B23" s="13" t="inlineStr">
        <is>
          <t>Sat</t>
        </is>
      </c>
      <c r="C23" s="31" t="n"/>
      <c r="D23" s="31" t="n"/>
      <c r="E23" s="31" t="n"/>
      <c r="F23" s="31" t="n"/>
      <c r="G23" s="31" t="n"/>
      <c r="H23" s="31" t="n"/>
      <c r="I23" s="26">
        <f>IF(COUNTIF(C23:H23,"&gt;=1")&gt;0,COUNTIF(C23:H23,"&gt;=1")/6,"")</f>
        <v/>
      </c>
    </row>
    <row r="24">
      <c r="A24" s="25" t="inlineStr">
        <is>
          <t>Jun 07</t>
        </is>
      </c>
      <c r="B24" s="13" t="inlineStr">
        <is>
          <t>Sun</t>
        </is>
      </c>
      <c r="C24" s="31" t="n"/>
      <c r="D24" s="31" t="n"/>
      <c r="E24" s="31" t="n"/>
      <c r="F24" s="31" t="n"/>
      <c r="G24" s="31" t="n"/>
      <c r="H24" s="31" t="n"/>
      <c r="I24" s="26">
        <f>IF(COUNTIF(C24:H24,"&gt;=1")&gt;0,COUNTIF(C24:H24,"&gt;=1")/6,"")</f>
        <v/>
      </c>
    </row>
    <row r="25">
      <c r="A25" s="32" t="inlineStr">
        <is>
          <t>Jun 08</t>
        </is>
      </c>
      <c r="B25" s="33" t="inlineStr">
        <is>
          <t>Mon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12" t="inlineStr">
        <is>
          <t>Jun 09</t>
        </is>
      </c>
      <c r="B26" s="29" t="inlineStr">
        <is>
          <t>Tue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Jun 10</t>
        </is>
      </c>
      <c r="B27" s="29" t="inlineStr">
        <is>
          <t>Wed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12" t="inlineStr">
        <is>
          <t>Jun 11</t>
        </is>
      </c>
      <c r="B28" s="29" t="inlineStr">
        <is>
          <t>Thu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12" t="inlineStr">
        <is>
          <t>Jun 12</t>
        </is>
      </c>
      <c r="B29" s="29" t="inlineStr">
        <is>
          <t>Fri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25" t="inlineStr">
        <is>
          <t>Jun 13</t>
        </is>
      </c>
      <c r="B30" s="13" t="inlineStr">
        <is>
          <t>Sat</t>
        </is>
      </c>
      <c r="C30" s="31" t="n"/>
      <c r="D30" s="31" t="n"/>
      <c r="E30" s="31" t="n"/>
      <c r="F30" s="31" t="n"/>
      <c r="G30" s="31" t="n"/>
      <c r="H30" s="31" t="n"/>
      <c r="I30" s="26">
        <f>IF(COUNTIF(C30:H30,"&gt;=1")&gt;0,COUNTIF(C30:H30,"&gt;=1")/6,"")</f>
        <v/>
      </c>
    </row>
    <row r="31">
      <c r="A31" s="25" t="inlineStr">
        <is>
          <t>Jun 14</t>
        </is>
      </c>
      <c r="B31" s="13" t="inlineStr">
        <is>
          <t>Sun</t>
        </is>
      </c>
      <c r="C31" s="31" t="n"/>
      <c r="D31" s="31" t="n"/>
      <c r="E31" s="31" t="n"/>
      <c r="F31" s="31" t="n"/>
      <c r="G31" s="31" t="n"/>
      <c r="H31" s="31" t="n"/>
      <c r="I31" s="26">
        <f>IF(COUNTIF(C31:H31,"&gt;=1")&gt;0,COUNTIF(C31:H31,"&gt;=1")/6,"")</f>
        <v/>
      </c>
    </row>
    <row r="32">
      <c r="A32" s="32" t="inlineStr">
        <is>
          <t>Jun 15</t>
        </is>
      </c>
      <c r="B32" s="33" t="inlineStr">
        <is>
          <t>Mon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12" t="inlineStr">
        <is>
          <t>Jun 16</t>
        </is>
      </c>
      <c r="B33" s="29" t="inlineStr">
        <is>
          <t>Tue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Jun 17</t>
        </is>
      </c>
      <c r="B34" s="29" t="inlineStr">
        <is>
          <t>Wed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12" t="inlineStr">
        <is>
          <t>Jun 18</t>
        </is>
      </c>
      <c r="B35" s="29" t="inlineStr">
        <is>
          <t>Thu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12" t="inlineStr">
        <is>
          <t>Jun 19</t>
        </is>
      </c>
      <c r="B36" s="29" t="inlineStr">
        <is>
          <t>Fri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25" t="inlineStr">
        <is>
          <t>Jun 20</t>
        </is>
      </c>
      <c r="B37" s="13" t="inlineStr">
        <is>
          <t>Sat</t>
        </is>
      </c>
      <c r="C37" s="31" t="n"/>
      <c r="D37" s="31" t="n"/>
      <c r="E37" s="31" t="n"/>
      <c r="F37" s="31" t="n"/>
      <c r="G37" s="31" t="n"/>
      <c r="H37" s="31" t="n"/>
      <c r="I37" s="26">
        <f>IF(COUNTIF(C37:H37,"&gt;=1")&gt;0,COUNTIF(C37:H37,"&gt;=1")/6,"")</f>
        <v/>
      </c>
    </row>
    <row r="38">
      <c r="A38" s="25" t="inlineStr">
        <is>
          <t>Jun 21</t>
        </is>
      </c>
      <c r="B38" s="13" t="inlineStr">
        <is>
          <t>Sun</t>
        </is>
      </c>
      <c r="C38" s="31" t="n"/>
      <c r="D38" s="31" t="n"/>
      <c r="E38" s="31" t="n"/>
      <c r="F38" s="31" t="n"/>
      <c r="G38" s="31" t="n"/>
      <c r="H38" s="31" t="n"/>
      <c r="I38" s="26">
        <f>IF(COUNTIF(C38:H38,"&gt;=1")&gt;0,COUNTIF(C38:H38,"&gt;=1")/6,"")</f>
        <v/>
      </c>
    </row>
    <row r="39">
      <c r="A39" s="32" t="inlineStr">
        <is>
          <t>Jun 22</t>
        </is>
      </c>
      <c r="B39" s="33" t="inlineStr">
        <is>
          <t>Mon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12" t="inlineStr">
        <is>
          <t>Jun 23</t>
        </is>
      </c>
      <c r="B40" s="29" t="inlineStr">
        <is>
          <t>Tue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Jun 24</t>
        </is>
      </c>
      <c r="B41" s="29" t="inlineStr">
        <is>
          <t>Wed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12" t="inlineStr">
        <is>
          <t>Jun 25</t>
        </is>
      </c>
      <c r="B42" s="29" t="inlineStr">
        <is>
          <t>Thu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12" t="inlineStr">
        <is>
          <t>Jun 26</t>
        </is>
      </c>
      <c r="B43" s="29" t="inlineStr">
        <is>
          <t>Fri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25" t="inlineStr">
        <is>
          <t>Jun 27</t>
        </is>
      </c>
      <c r="B44" s="13" t="inlineStr">
        <is>
          <t>Sat</t>
        </is>
      </c>
      <c r="C44" s="31" t="n"/>
      <c r="D44" s="31" t="n"/>
      <c r="E44" s="31" t="n"/>
      <c r="F44" s="31" t="n"/>
      <c r="G44" s="31" t="n"/>
      <c r="H44" s="31" t="n"/>
      <c r="I44" s="26">
        <f>IF(COUNTIF(C44:H44,"&gt;=1")&gt;0,COUNTIF(C44:H44,"&gt;=1")/6,"")</f>
        <v/>
      </c>
    </row>
    <row r="45">
      <c r="A45" s="25" t="inlineStr">
        <is>
          <t>Jun 28</t>
        </is>
      </c>
      <c r="B45" s="13" t="inlineStr">
        <is>
          <t>Sun</t>
        </is>
      </c>
      <c r="C45" s="31" t="n"/>
      <c r="D45" s="31" t="n"/>
      <c r="E45" s="31" t="n"/>
      <c r="F45" s="31" t="n"/>
      <c r="G45" s="31" t="n"/>
      <c r="H45" s="31" t="n"/>
      <c r="I45" s="26">
        <f>IF(COUNTIF(C45:H45,"&gt;=1")&gt;0,COUNTIF(C45:H45,"&gt;=1")/6,"")</f>
        <v/>
      </c>
    </row>
    <row r="46">
      <c r="A46" s="32" t="inlineStr">
        <is>
          <t>Jun 29</t>
        </is>
      </c>
      <c r="B46" s="33" t="inlineStr">
        <is>
          <t>Mon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12" t="inlineStr">
        <is>
          <t>Jun 30</t>
        </is>
      </c>
      <c r="B47" s="29" t="inlineStr">
        <is>
          <t>Tue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7">
    <cfRule type="cellIs" priority="1" operator="equal" dxfId="3">
      <formula>1</formula>
    </cfRule>
  </conditionalFormatting>
  <conditionalFormatting sqref="D18:D47">
    <cfRule type="cellIs" priority="2" operator="equal" dxfId="3">
      <formula>1</formula>
    </cfRule>
  </conditionalFormatting>
  <conditionalFormatting sqref="E18:E47">
    <cfRule type="cellIs" priority="3" operator="equal" dxfId="3">
      <formula>1</formula>
    </cfRule>
  </conditionalFormatting>
  <conditionalFormatting sqref="F18:F47">
    <cfRule type="cellIs" priority="4" operator="equal" dxfId="3">
      <formula>1</formula>
    </cfRule>
  </conditionalFormatting>
  <conditionalFormatting sqref="G18:G47">
    <cfRule type="cellIs" priority="5" operator="equal" dxfId="3">
      <formula>1</formula>
    </cfRule>
  </conditionalFormatting>
  <conditionalFormatting sqref="H18:H47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32"/>
    <outlinePr summaryBelow="1" summaryRight="1"/>
  </sheetPr>
  <dimension ref="A1:I48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JULY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3</v>
      </c>
      <c r="C11" s="26">
        <f>MIN(COUNTIF(C46:C48,1)/2,1)</f>
        <v/>
      </c>
      <c r="D11" s="26">
        <f>MIN(COUNTIF(D46:D48,1)/2,1)</f>
        <v/>
      </c>
      <c r="E11" s="26">
        <f>MIN(COUNTIF(E46:E48,1)/3,1)</f>
        <v/>
      </c>
      <c r="F11" s="26">
        <f>MIN(COUNTIF(F46:F48,1)/3,1)</f>
        <v/>
      </c>
      <c r="G11" s="26">
        <f>MIN(COUNTIF(G46:G48,1)/3,1)</f>
        <v/>
      </c>
      <c r="H11" s="26">
        <f>MIN(COUNTIF(H46:H48,1)/2,1)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Jul 01</t>
        </is>
      </c>
      <c r="B18" s="29" t="inlineStr">
        <is>
          <t>Wed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12" t="inlineStr">
        <is>
          <t>Jul 02</t>
        </is>
      </c>
      <c r="B19" s="29" t="inlineStr">
        <is>
          <t>Thu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Jul 03</t>
        </is>
      </c>
      <c r="B20" s="29" t="inlineStr">
        <is>
          <t>Fri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25" t="inlineStr">
        <is>
          <t>Jul 04</t>
        </is>
      </c>
      <c r="B21" s="13" t="inlineStr">
        <is>
          <t>Sat</t>
        </is>
      </c>
      <c r="C21" s="31" t="n"/>
      <c r="D21" s="31" t="n"/>
      <c r="E21" s="31" t="n"/>
      <c r="F21" s="31" t="n"/>
      <c r="G21" s="31" t="n"/>
      <c r="H21" s="31" t="n"/>
      <c r="I21" s="26">
        <f>IF(COUNTIF(C21:H21,"&gt;=1")&gt;0,COUNTIF(C21:H21,"&gt;=1")/6,"")</f>
        <v/>
      </c>
    </row>
    <row r="22">
      <c r="A22" s="25" t="inlineStr">
        <is>
          <t>Jul 05</t>
        </is>
      </c>
      <c r="B22" s="13" t="inlineStr">
        <is>
          <t>Sun</t>
        </is>
      </c>
      <c r="C22" s="31" t="n"/>
      <c r="D22" s="31" t="n"/>
      <c r="E22" s="31" t="n"/>
      <c r="F22" s="31" t="n"/>
      <c r="G22" s="31" t="n"/>
      <c r="H22" s="31" t="n"/>
      <c r="I22" s="26">
        <f>IF(COUNTIF(C22:H22,"&gt;=1")&gt;0,COUNTIF(C22:H22,"&gt;=1")/6,"")</f>
        <v/>
      </c>
    </row>
    <row r="23">
      <c r="A23" s="12" t="inlineStr">
        <is>
          <t>Jul 06</t>
        </is>
      </c>
      <c r="B23" s="29" t="inlineStr">
        <is>
          <t>Mon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12" t="inlineStr">
        <is>
          <t>Jul 07</t>
        </is>
      </c>
      <c r="B24" s="29" t="inlineStr">
        <is>
          <t>Tue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2" t="inlineStr">
        <is>
          <t>Jul 08</t>
        </is>
      </c>
      <c r="B25" s="33" t="inlineStr">
        <is>
          <t>Wed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12" t="inlineStr">
        <is>
          <t>Jul 09</t>
        </is>
      </c>
      <c r="B26" s="29" t="inlineStr">
        <is>
          <t>Thu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Jul 10</t>
        </is>
      </c>
      <c r="B27" s="29" t="inlineStr">
        <is>
          <t>Fri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25" t="inlineStr">
        <is>
          <t>Jul 11</t>
        </is>
      </c>
      <c r="B28" s="13" t="inlineStr">
        <is>
          <t>Sat</t>
        </is>
      </c>
      <c r="C28" s="31" t="n"/>
      <c r="D28" s="31" t="n"/>
      <c r="E28" s="31" t="n"/>
      <c r="F28" s="31" t="n"/>
      <c r="G28" s="31" t="n"/>
      <c r="H28" s="31" t="n"/>
      <c r="I28" s="26">
        <f>IF(COUNTIF(C28:H28,"&gt;=1")&gt;0,COUNTIF(C28:H28,"&gt;=1")/6,"")</f>
        <v/>
      </c>
    </row>
    <row r="29">
      <c r="A29" s="25" t="inlineStr">
        <is>
          <t>Jul 12</t>
        </is>
      </c>
      <c r="B29" s="13" t="inlineStr">
        <is>
          <t>Sun</t>
        </is>
      </c>
      <c r="C29" s="31" t="n"/>
      <c r="D29" s="31" t="n"/>
      <c r="E29" s="31" t="n"/>
      <c r="F29" s="31" t="n"/>
      <c r="G29" s="31" t="n"/>
      <c r="H29" s="31" t="n"/>
      <c r="I29" s="26">
        <f>IF(COUNTIF(C29:H29,"&gt;=1")&gt;0,COUNTIF(C29:H29,"&gt;=1")/6,"")</f>
        <v/>
      </c>
    </row>
    <row r="30">
      <c r="A30" s="12" t="inlineStr">
        <is>
          <t>Jul 13</t>
        </is>
      </c>
      <c r="B30" s="29" t="inlineStr">
        <is>
          <t>Mon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12" t="inlineStr">
        <is>
          <t>Jul 14</t>
        </is>
      </c>
      <c r="B31" s="29" t="inlineStr">
        <is>
          <t>Tue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2" t="inlineStr">
        <is>
          <t>Jul 15</t>
        </is>
      </c>
      <c r="B32" s="33" t="inlineStr">
        <is>
          <t>Wed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12" t="inlineStr">
        <is>
          <t>Jul 16</t>
        </is>
      </c>
      <c r="B33" s="29" t="inlineStr">
        <is>
          <t>Thu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Jul 17</t>
        </is>
      </c>
      <c r="B34" s="29" t="inlineStr">
        <is>
          <t>Fri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25" t="inlineStr">
        <is>
          <t>Jul 18</t>
        </is>
      </c>
      <c r="B35" s="13" t="inlineStr">
        <is>
          <t>Sat</t>
        </is>
      </c>
      <c r="C35" s="31" t="n"/>
      <c r="D35" s="31" t="n"/>
      <c r="E35" s="31" t="n"/>
      <c r="F35" s="31" t="n"/>
      <c r="G35" s="31" t="n"/>
      <c r="H35" s="31" t="n"/>
      <c r="I35" s="26">
        <f>IF(COUNTIF(C35:H35,"&gt;=1")&gt;0,COUNTIF(C35:H35,"&gt;=1")/6,"")</f>
        <v/>
      </c>
    </row>
    <row r="36">
      <c r="A36" s="25" t="inlineStr">
        <is>
          <t>Jul 19</t>
        </is>
      </c>
      <c r="B36" s="13" t="inlineStr">
        <is>
          <t>Sun</t>
        </is>
      </c>
      <c r="C36" s="31" t="n"/>
      <c r="D36" s="31" t="n"/>
      <c r="E36" s="31" t="n"/>
      <c r="F36" s="31" t="n"/>
      <c r="G36" s="31" t="n"/>
      <c r="H36" s="31" t="n"/>
      <c r="I36" s="26">
        <f>IF(COUNTIF(C36:H36,"&gt;=1")&gt;0,COUNTIF(C36:H36,"&gt;=1")/6,"")</f>
        <v/>
      </c>
    </row>
    <row r="37">
      <c r="A37" s="12" t="inlineStr">
        <is>
          <t>Jul 20</t>
        </is>
      </c>
      <c r="B37" s="29" t="inlineStr">
        <is>
          <t>Mon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12" t="inlineStr">
        <is>
          <t>Jul 21</t>
        </is>
      </c>
      <c r="B38" s="29" t="inlineStr">
        <is>
          <t>Tue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2" t="inlineStr">
        <is>
          <t>Jul 22</t>
        </is>
      </c>
      <c r="B39" s="33" t="inlineStr">
        <is>
          <t>Wed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12" t="inlineStr">
        <is>
          <t>Jul 23</t>
        </is>
      </c>
      <c r="B40" s="29" t="inlineStr">
        <is>
          <t>Thu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Jul 24</t>
        </is>
      </c>
      <c r="B41" s="29" t="inlineStr">
        <is>
          <t>Fri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25" t="inlineStr">
        <is>
          <t>Jul 25</t>
        </is>
      </c>
      <c r="B42" s="13" t="inlineStr">
        <is>
          <t>Sat</t>
        </is>
      </c>
      <c r="C42" s="31" t="n"/>
      <c r="D42" s="31" t="n"/>
      <c r="E42" s="31" t="n"/>
      <c r="F42" s="31" t="n"/>
      <c r="G42" s="31" t="n"/>
      <c r="H42" s="31" t="n"/>
      <c r="I42" s="26">
        <f>IF(COUNTIF(C42:H42,"&gt;=1")&gt;0,COUNTIF(C42:H42,"&gt;=1")/6,"")</f>
        <v/>
      </c>
    </row>
    <row r="43">
      <c r="A43" s="25" t="inlineStr">
        <is>
          <t>Jul 26</t>
        </is>
      </c>
      <c r="B43" s="13" t="inlineStr">
        <is>
          <t>Sun</t>
        </is>
      </c>
      <c r="C43" s="31" t="n"/>
      <c r="D43" s="31" t="n"/>
      <c r="E43" s="31" t="n"/>
      <c r="F43" s="31" t="n"/>
      <c r="G43" s="31" t="n"/>
      <c r="H43" s="31" t="n"/>
      <c r="I43" s="26">
        <f>IF(COUNTIF(C43:H43,"&gt;=1")&gt;0,COUNTIF(C43:H43,"&gt;=1")/6,"")</f>
        <v/>
      </c>
    </row>
    <row r="44">
      <c r="A44" s="12" t="inlineStr">
        <is>
          <t>Jul 27</t>
        </is>
      </c>
      <c r="B44" s="29" t="inlineStr">
        <is>
          <t>Mon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12" t="inlineStr">
        <is>
          <t>Jul 28</t>
        </is>
      </c>
      <c r="B45" s="29" t="inlineStr">
        <is>
          <t>Tue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2" t="inlineStr">
        <is>
          <t>Jul 29</t>
        </is>
      </c>
      <c r="B46" s="33" t="inlineStr">
        <is>
          <t>Wed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12" t="inlineStr">
        <is>
          <t>Jul 30</t>
        </is>
      </c>
      <c r="B47" s="29" t="inlineStr">
        <is>
          <t>Thu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  <row r="48">
      <c r="A48" s="12" t="inlineStr">
        <is>
          <t>Jul 31</t>
        </is>
      </c>
      <c r="B48" s="29" t="inlineStr">
        <is>
          <t>Fri</t>
        </is>
      </c>
      <c r="C48" s="30" t="n"/>
      <c r="D48" s="30" t="n"/>
      <c r="E48" s="30" t="n"/>
      <c r="F48" s="30" t="n"/>
      <c r="G48" s="30" t="n"/>
      <c r="H48" s="30" t="n"/>
      <c r="I48" s="14">
        <f>IF(COUNTIF(C48:H48,"&gt;=1")&gt;0,COUNTIF(C48:H48,"&gt;=1")/6,"")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8">
    <cfRule type="cellIs" priority="1" operator="equal" dxfId="3">
      <formula>1</formula>
    </cfRule>
  </conditionalFormatting>
  <conditionalFormatting sqref="D18:D48">
    <cfRule type="cellIs" priority="2" operator="equal" dxfId="3">
      <formula>1</formula>
    </cfRule>
  </conditionalFormatting>
  <conditionalFormatting sqref="E18:E48">
    <cfRule type="cellIs" priority="3" operator="equal" dxfId="3">
      <formula>1</formula>
    </cfRule>
  </conditionalFormatting>
  <conditionalFormatting sqref="F18:F48">
    <cfRule type="cellIs" priority="4" operator="equal" dxfId="3">
      <formula>1</formula>
    </cfRule>
  </conditionalFormatting>
  <conditionalFormatting sqref="G18:G48">
    <cfRule type="cellIs" priority="5" operator="equal" dxfId="3">
      <formula>1</formula>
    </cfRule>
  </conditionalFormatting>
  <conditionalFormatting sqref="H18:H48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</sheetPr>
  <dimension ref="A1:I48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AUGUST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3</v>
      </c>
      <c r="C11" s="26">
        <f>MIN(COUNTIF(C46:C48,1)/2,1)</f>
        <v/>
      </c>
      <c r="D11" s="26">
        <f>MIN(COUNTIF(D46:D48,1)/2,1)</f>
        <v/>
      </c>
      <c r="E11" s="26">
        <f>MIN(COUNTIF(E46:E48,1)/3,1)</f>
        <v/>
      </c>
      <c r="F11" s="26">
        <f>MIN(COUNTIF(F46:F48,1)/3,1)</f>
        <v/>
      </c>
      <c r="G11" s="26">
        <f>MIN(COUNTIF(G46:G48,1)/3,1)</f>
        <v/>
      </c>
      <c r="H11" s="26">
        <f>MIN(COUNTIF(H46:H48,1)/2,1)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25" t="inlineStr">
        <is>
          <t>Aug 01</t>
        </is>
      </c>
      <c r="B18" s="13" t="inlineStr">
        <is>
          <t>Sat</t>
        </is>
      </c>
      <c r="C18" s="31" t="n"/>
      <c r="D18" s="31" t="n"/>
      <c r="E18" s="31" t="n"/>
      <c r="F18" s="31" t="n"/>
      <c r="G18" s="31" t="n"/>
      <c r="H18" s="31" t="n"/>
      <c r="I18" s="26">
        <f>IF(COUNTIF(C18:H18,"&gt;=1")&gt;0,COUNTIF(C18:H18,"&gt;=1")/6,"")</f>
        <v/>
      </c>
    </row>
    <row r="19">
      <c r="A19" s="25" t="inlineStr">
        <is>
          <t>Aug 02</t>
        </is>
      </c>
      <c r="B19" s="13" t="inlineStr">
        <is>
          <t>Sun</t>
        </is>
      </c>
      <c r="C19" s="31" t="n"/>
      <c r="D19" s="31" t="n"/>
      <c r="E19" s="31" t="n"/>
      <c r="F19" s="31" t="n"/>
      <c r="G19" s="31" t="n"/>
      <c r="H19" s="31" t="n"/>
      <c r="I19" s="26">
        <f>IF(COUNTIF(C19:H19,"&gt;=1")&gt;0,COUNTIF(C19:H19,"&gt;=1")/6,"")</f>
        <v/>
      </c>
    </row>
    <row r="20">
      <c r="A20" s="12" t="inlineStr">
        <is>
          <t>Aug 03</t>
        </is>
      </c>
      <c r="B20" s="29" t="inlineStr">
        <is>
          <t>Mon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12" t="inlineStr">
        <is>
          <t>Aug 04</t>
        </is>
      </c>
      <c r="B21" s="29" t="inlineStr">
        <is>
          <t>Tue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12" t="inlineStr">
        <is>
          <t>Aug 05</t>
        </is>
      </c>
      <c r="B22" s="29" t="inlineStr">
        <is>
          <t>Wed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12" t="inlineStr">
        <is>
          <t>Aug 06</t>
        </is>
      </c>
      <c r="B23" s="29" t="inlineStr">
        <is>
          <t>Thu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12" t="inlineStr">
        <is>
          <t>Aug 07</t>
        </is>
      </c>
      <c r="B24" s="29" t="inlineStr">
        <is>
          <t>Fri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6" t="inlineStr">
        <is>
          <t>Aug 08</t>
        </is>
      </c>
      <c r="B25" s="37" t="inlineStr">
        <is>
          <t>Sat</t>
        </is>
      </c>
      <c r="C25" s="38" t="n"/>
      <c r="D25" s="38" t="n"/>
      <c r="E25" s="38" t="n"/>
      <c r="F25" s="38" t="n"/>
      <c r="G25" s="38" t="n"/>
      <c r="H25" s="38" t="n"/>
      <c r="I25" s="39">
        <f>IF(COUNTIF(C25:H25,"&gt;=1")&gt;0,COUNTIF(C25:H25,"&gt;=1")/6,"")</f>
        <v/>
      </c>
    </row>
    <row r="26">
      <c r="A26" s="25" t="inlineStr">
        <is>
          <t>Aug 09</t>
        </is>
      </c>
      <c r="B26" s="13" t="inlineStr">
        <is>
          <t>Sun</t>
        </is>
      </c>
      <c r="C26" s="31" t="n"/>
      <c r="D26" s="31" t="n"/>
      <c r="E26" s="31" t="n"/>
      <c r="F26" s="31" t="n"/>
      <c r="G26" s="31" t="n"/>
      <c r="H26" s="31" t="n"/>
      <c r="I26" s="26">
        <f>IF(COUNTIF(C26:H26,"&gt;=1")&gt;0,COUNTIF(C26:H26,"&gt;=1")/6,"")</f>
        <v/>
      </c>
    </row>
    <row r="27">
      <c r="A27" s="12" t="inlineStr">
        <is>
          <t>Aug 10</t>
        </is>
      </c>
      <c r="B27" s="29" t="inlineStr">
        <is>
          <t>Mon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12" t="inlineStr">
        <is>
          <t>Aug 11</t>
        </is>
      </c>
      <c r="B28" s="29" t="inlineStr">
        <is>
          <t>Tue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12" t="inlineStr">
        <is>
          <t>Aug 12</t>
        </is>
      </c>
      <c r="B29" s="29" t="inlineStr">
        <is>
          <t>Wed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12" t="inlineStr">
        <is>
          <t>Aug 13</t>
        </is>
      </c>
      <c r="B30" s="29" t="inlineStr">
        <is>
          <t>Thu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12" t="inlineStr">
        <is>
          <t>Aug 14</t>
        </is>
      </c>
      <c r="B31" s="29" t="inlineStr">
        <is>
          <t>Fri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6" t="inlineStr">
        <is>
          <t>Aug 15</t>
        </is>
      </c>
      <c r="B32" s="37" t="inlineStr">
        <is>
          <t>Sat</t>
        </is>
      </c>
      <c r="C32" s="38" t="n"/>
      <c r="D32" s="38" t="n"/>
      <c r="E32" s="38" t="n"/>
      <c r="F32" s="38" t="n"/>
      <c r="G32" s="38" t="n"/>
      <c r="H32" s="38" t="n"/>
      <c r="I32" s="39">
        <f>IF(COUNTIF(C32:H32,"&gt;=1")&gt;0,COUNTIF(C32:H32,"&gt;=1")/6,"")</f>
        <v/>
      </c>
    </row>
    <row r="33">
      <c r="A33" s="25" t="inlineStr">
        <is>
          <t>Aug 16</t>
        </is>
      </c>
      <c r="B33" s="13" t="inlineStr">
        <is>
          <t>Sun</t>
        </is>
      </c>
      <c r="C33" s="31" t="n"/>
      <c r="D33" s="31" t="n"/>
      <c r="E33" s="31" t="n"/>
      <c r="F33" s="31" t="n"/>
      <c r="G33" s="31" t="n"/>
      <c r="H33" s="31" t="n"/>
      <c r="I33" s="26">
        <f>IF(COUNTIF(C33:H33,"&gt;=1")&gt;0,COUNTIF(C33:H33,"&gt;=1")/6,"")</f>
        <v/>
      </c>
    </row>
    <row r="34">
      <c r="A34" s="12" t="inlineStr">
        <is>
          <t>Aug 17</t>
        </is>
      </c>
      <c r="B34" s="29" t="inlineStr">
        <is>
          <t>Mon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12" t="inlineStr">
        <is>
          <t>Aug 18</t>
        </is>
      </c>
      <c r="B35" s="29" t="inlineStr">
        <is>
          <t>Tue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12" t="inlineStr">
        <is>
          <t>Aug 19</t>
        </is>
      </c>
      <c r="B36" s="29" t="inlineStr">
        <is>
          <t>Wed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12" t="inlineStr">
        <is>
          <t>Aug 20</t>
        </is>
      </c>
      <c r="B37" s="29" t="inlineStr">
        <is>
          <t>Thu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12" t="inlineStr">
        <is>
          <t>Aug 21</t>
        </is>
      </c>
      <c r="B38" s="29" t="inlineStr">
        <is>
          <t>Fri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6" t="inlineStr">
        <is>
          <t>Aug 22</t>
        </is>
      </c>
      <c r="B39" s="37" t="inlineStr">
        <is>
          <t>Sat</t>
        </is>
      </c>
      <c r="C39" s="38" t="n"/>
      <c r="D39" s="38" t="n"/>
      <c r="E39" s="38" t="n"/>
      <c r="F39" s="38" t="n"/>
      <c r="G39" s="38" t="n"/>
      <c r="H39" s="38" t="n"/>
      <c r="I39" s="39">
        <f>IF(COUNTIF(C39:H39,"&gt;=1")&gt;0,COUNTIF(C39:H39,"&gt;=1")/6,"")</f>
        <v/>
      </c>
    </row>
    <row r="40">
      <c r="A40" s="25" t="inlineStr">
        <is>
          <t>Aug 23</t>
        </is>
      </c>
      <c r="B40" s="13" t="inlineStr">
        <is>
          <t>Sun</t>
        </is>
      </c>
      <c r="C40" s="31" t="n"/>
      <c r="D40" s="31" t="n"/>
      <c r="E40" s="31" t="n"/>
      <c r="F40" s="31" t="n"/>
      <c r="G40" s="31" t="n"/>
      <c r="H40" s="31" t="n"/>
      <c r="I40" s="26">
        <f>IF(COUNTIF(C40:H40,"&gt;=1")&gt;0,COUNTIF(C40:H40,"&gt;=1")/6,"")</f>
        <v/>
      </c>
    </row>
    <row r="41">
      <c r="A41" s="12" t="inlineStr">
        <is>
          <t>Aug 24</t>
        </is>
      </c>
      <c r="B41" s="29" t="inlineStr">
        <is>
          <t>Mon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12" t="inlineStr">
        <is>
          <t>Aug 25</t>
        </is>
      </c>
      <c r="B42" s="29" t="inlineStr">
        <is>
          <t>Tue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12" t="inlineStr">
        <is>
          <t>Aug 26</t>
        </is>
      </c>
      <c r="B43" s="29" t="inlineStr">
        <is>
          <t>Wed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12" t="inlineStr">
        <is>
          <t>Aug 27</t>
        </is>
      </c>
      <c r="B44" s="29" t="inlineStr">
        <is>
          <t>Thu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12" t="inlineStr">
        <is>
          <t>Aug 28</t>
        </is>
      </c>
      <c r="B45" s="29" t="inlineStr">
        <is>
          <t>Fri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6" t="inlineStr">
        <is>
          <t>Aug 29</t>
        </is>
      </c>
      <c r="B46" s="37" t="inlineStr">
        <is>
          <t>Sat</t>
        </is>
      </c>
      <c r="C46" s="38" t="n"/>
      <c r="D46" s="38" t="n"/>
      <c r="E46" s="38" t="n"/>
      <c r="F46" s="38" t="n"/>
      <c r="G46" s="38" t="n"/>
      <c r="H46" s="38" t="n"/>
      <c r="I46" s="39">
        <f>IF(COUNTIF(C46:H46,"&gt;=1")&gt;0,COUNTIF(C46:H46,"&gt;=1")/6,"")</f>
        <v/>
      </c>
    </row>
    <row r="47">
      <c r="A47" s="25" t="inlineStr">
        <is>
          <t>Aug 30</t>
        </is>
      </c>
      <c r="B47" s="13" t="inlineStr">
        <is>
          <t>Sun</t>
        </is>
      </c>
      <c r="C47" s="31" t="n"/>
      <c r="D47" s="31" t="n"/>
      <c r="E47" s="31" t="n"/>
      <c r="F47" s="31" t="n"/>
      <c r="G47" s="31" t="n"/>
      <c r="H47" s="31" t="n"/>
      <c r="I47" s="26">
        <f>IF(COUNTIF(C47:H47,"&gt;=1")&gt;0,COUNTIF(C47:H47,"&gt;=1")/6,"")</f>
        <v/>
      </c>
    </row>
    <row r="48">
      <c r="A48" s="12" t="inlineStr">
        <is>
          <t>Aug 31</t>
        </is>
      </c>
      <c r="B48" s="29" t="inlineStr">
        <is>
          <t>Mon</t>
        </is>
      </c>
      <c r="C48" s="30" t="n"/>
      <c r="D48" s="30" t="n"/>
      <c r="E48" s="30" t="n"/>
      <c r="F48" s="30" t="n"/>
      <c r="G48" s="30" t="n"/>
      <c r="H48" s="30" t="n"/>
      <c r="I48" s="14">
        <f>IF(COUNTIF(C48:H48,"&gt;=1")&gt;0,COUNTIF(C48:H48,"&gt;=1")/6,"")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8">
    <cfRule type="cellIs" priority="1" operator="equal" dxfId="3">
      <formula>1</formula>
    </cfRule>
  </conditionalFormatting>
  <conditionalFormatting sqref="D18:D48">
    <cfRule type="cellIs" priority="2" operator="equal" dxfId="3">
      <formula>1</formula>
    </cfRule>
  </conditionalFormatting>
  <conditionalFormatting sqref="E18:E48">
    <cfRule type="cellIs" priority="3" operator="equal" dxfId="3">
      <formula>1</formula>
    </cfRule>
  </conditionalFormatting>
  <conditionalFormatting sqref="F18:F48">
    <cfRule type="cellIs" priority="4" operator="equal" dxfId="3">
      <formula>1</formula>
    </cfRule>
  </conditionalFormatting>
  <conditionalFormatting sqref="G18:G48">
    <cfRule type="cellIs" priority="5" operator="equal" dxfId="3">
      <formula>1</formula>
    </cfRule>
  </conditionalFormatting>
  <conditionalFormatting sqref="H18:H48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D32"/>
    <outlinePr summaryBelow="1" summaryRight="1"/>
  </sheetPr>
  <dimension ref="A1:I47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SEPTEMBER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2</v>
      </c>
      <c r="C11" s="26">
        <f>MIN(COUNTIF(C46:C47,1)/1,1)</f>
        <v/>
      </c>
      <c r="D11" s="26">
        <f>MIN(COUNTIF(D46:D47,1)/1,1)</f>
        <v/>
      </c>
      <c r="E11" s="26">
        <f>MIN(COUNTIF(E46:E47,1)/2,1)</f>
        <v/>
      </c>
      <c r="F11" s="26">
        <f>MIN(COUNTIF(F46:F47,1)/2,1)</f>
        <v/>
      </c>
      <c r="G11" s="26">
        <f>MIN(COUNTIF(G46:G47,1)/2,1)</f>
        <v/>
      </c>
      <c r="H11" s="26">
        <f>MIN(COUNTIF(H46:H47,1)/1,1)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Sep 01</t>
        </is>
      </c>
      <c r="B18" s="29" t="inlineStr">
        <is>
          <t>Tue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12" t="inlineStr">
        <is>
          <t>Sep 02</t>
        </is>
      </c>
      <c r="B19" s="29" t="inlineStr">
        <is>
          <t>Wed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Sep 03</t>
        </is>
      </c>
      <c r="B20" s="29" t="inlineStr">
        <is>
          <t>Thu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12" t="inlineStr">
        <is>
          <t>Sep 04</t>
        </is>
      </c>
      <c r="B21" s="29" t="inlineStr">
        <is>
          <t>Fri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25" t="inlineStr">
        <is>
          <t>Sep 05</t>
        </is>
      </c>
      <c r="B22" s="13" t="inlineStr">
        <is>
          <t>Sat</t>
        </is>
      </c>
      <c r="C22" s="31" t="n"/>
      <c r="D22" s="31" t="n"/>
      <c r="E22" s="31" t="n"/>
      <c r="F22" s="31" t="n"/>
      <c r="G22" s="31" t="n"/>
      <c r="H22" s="31" t="n"/>
      <c r="I22" s="26">
        <f>IF(COUNTIF(C22:H22,"&gt;=1")&gt;0,COUNTIF(C22:H22,"&gt;=1")/6,"")</f>
        <v/>
      </c>
    </row>
    <row r="23">
      <c r="A23" s="25" t="inlineStr">
        <is>
          <t>Sep 06</t>
        </is>
      </c>
      <c r="B23" s="13" t="inlineStr">
        <is>
          <t>Sun</t>
        </is>
      </c>
      <c r="C23" s="31" t="n"/>
      <c r="D23" s="31" t="n"/>
      <c r="E23" s="31" t="n"/>
      <c r="F23" s="31" t="n"/>
      <c r="G23" s="31" t="n"/>
      <c r="H23" s="31" t="n"/>
      <c r="I23" s="26">
        <f>IF(COUNTIF(C23:H23,"&gt;=1")&gt;0,COUNTIF(C23:H23,"&gt;=1")/6,"")</f>
        <v/>
      </c>
    </row>
    <row r="24">
      <c r="A24" s="12" t="inlineStr">
        <is>
          <t>Sep 07</t>
        </is>
      </c>
      <c r="B24" s="29" t="inlineStr">
        <is>
          <t>Mon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2" t="inlineStr">
        <is>
          <t>Sep 08</t>
        </is>
      </c>
      <c r="B25" s="33" t="inlineStr">
        <is>
          <t>Tue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12" t="inlineStr">
        <is>
          <t>Sep 09</t>
        </is>
      </c>
      <c r="B26" s="29" t="inlineStr">
        <is>
          <t>Wed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Sep 10</t>
        </is>
      </c>
      <c r="B27" s="29" t="inlineStr">
        <is>
          <t>Thu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12" t="inlineStr">
        <is>
          <t>Sep 11</t>
        </is>
      </c>
      <c r="B28" s="29" t="inlineStr">
        <is>
          <t>Fri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25" t="inlineStr">
        <is>
          <t>Sep 12</t>
        </is>
      </c>
      <c r="B29" s="13" t="inlineStr">
        <is>
          <t>Sat</t>
        </is>
      </c>
      <c r="C29" s="31" t="n"/>
      <c r="D29" s="31" t="n"/>
      <c r="E29" s="31" t="n"/>
      <c r="F29" s="31" t="n"/>
      <c r="G29" s="31" t="n"/>
      <c r="H29" s="31" t="n"/>
      <c r="I29" s="26">
        <f>IF(COUNTIF(C29:H29,"&gt;=1")&gt;0,COUNTIF(C29:H29,"&gt;=1")/6,"")</f>
        <v/>
      </c>
    </row>
    <row r="30">
      <c r="A30" s="25" t="inlineStr">
        <is>
          <t>Sep 13</t>
        </is>
      </c>
      <c r="B30" s="13" t="inlineStr">
        <is>
          <t>Sun</t>
        </is>
      </c>
      <c r="C30" s="31" t="n"/>
      <c r="D30" s="31" t="n"/>
      <c r="E30" s="31" t="n"/>
      <c r="F30" s="31" t="n"/>
      <c r="G30" s="31" t="n"/>
      <c r="H30" s="31" t="n"/>
      <c r="I30" s="26">
        <f>IF(COUNTIF(C30:H30,"&gt;=1")&gt;0,COUNTIF(C30:H30,"&gt;=1")/6,"")</f>
        <v/>
      </c>
    </row>
    <row r="31">
      <c r="A31" s="12" t="inlineStr">
        <is>
          <t>Sep 14</t>
        </is>
      </c>
      <c r="B31" s="29" t="inlineStr">
        <is>
          <t>Mon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2" t="inlineStr">
        <is>
          <t>Sep 15</t>
        </is>
      </c>
      <c r="B32" s="33" t="inlineStr">
        <is>
          <t>Tue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12" t="inlineStr">
        <is>
          <t>Sep 16</t>
        </is>
      </c>
      <c r="B33" s="29" t="inlineStr">
        <is>
          <t>Wed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Sep 17</t>
        </is>
      </c>
      <c r="B34" s="29" t="inlineStr">
        <is>
          <t>Thu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12" t="inlineStr">
        <is>
          <t>Sep 18</t>
        </is>
      </c>
      <c r="B35" s="29" t="inlineStr">
        <is>
          <t>Fri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25" t="inlineStr">
        <is>
          <t>Sep 19</t>
        </is>
      </c>
      <c r="B36" s="13" t="inlineStr">
        <is>
          <t>Sat</t>
        </is>
      </c>
      <c r="C36" s="31" t="n"/>
      <c r="D36" s="31" t="n"/>
      <c r="E36" s="31" t="n"/>
      <c r="F36" s="31" t="n"/>
      <c r="G36" s="31" t="n"/>
      <c r="H36" s="31" t="n"/>
      <c r="I36" s="26">
        <f>IF(COUNTIF(C36:H36,"&gt;=1")&gt;0,COUNTIF(C36:H36,"&gt;=1")/6,"")</f>
        <v/>
      </c>
    </row>
    <row r="37">
      <c r="A37" s="25" t="inlineStr">
        <is>
          <t>Sep 20</t>
        </is>
      </c>
      <c r="B37" s="13" t="inlineStr">
        <is>
          <t>Sun</t>
        </is>
      </c>
      <c r="C37" s="31" t="n"/>
      <c r="D37" s="31" t="n"/>
      <c r="E37" s="31" t="n"/>
      <c r="F37" s="31" t="n"/>
      <c r="G37" s="31" t="n"/>
      <c r="H37" s="31" t="n"/>
      <c r="I37" s="26">
        <f>IF(COUNTIF(C37:H37,"&gt;=1")&gt;0,COUNTIF(C37:H37,"&gt;=1")/6,"")</f>
        <v/>
      </c>
    </row>
    <row r="38">
      <c r="A38" s="12" t="inlineStr">
        <is>
          <t>Sep 21</t>
        </is>
      </c>
      <c r="B38" s="29" t="inlineStr">
        <is>
          <t>Mon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2" t="inlineStr">
        <is>
          <t>Sep 22</t>
        </is>
      </c>
      <c r="B39" s="33" t="inlineStr">
        <is>
          <t>Tue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12" t="inlineStr">
        <is>
          <t>Sep 23</t>
        </is>
      </c>
      <c r="B40" s="29" t="inlineStr">
        <is>
          <t>Wed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Sep 24</t>
        </is>
      </c>
      <c r="B41" s="29" t="inlineStr">
        <is>
          <t>Thu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12" t="inlineStr">
        <is>
          <t>Sep 25</t>
        </is>
      </c>
      <c r="B42" s="29" t="inlineStr">
        <is>
          <t>Fri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25" t="inlineStr">
        <is>
          <t>Sep 26</t>
        </is>
      </c>
      <c r="B43" s="13" t="inlineStr">
        <is>
          <t>Sat</t>
        </is>
      </c>
      <c r="C43" s="31" t="n"/>
      <c r="D43" s="31" t="n"/>
      <c r="E43" s="31" t="n"/>
      <c r="F43" s="31" t="n"/>
      <c r="G43" s="31" t="n"/>
      <c r="H43" s="31" t="n"/>
      <c r="I43" s="26">
        <f>IF(COUNTIF(C43:H43,"&gt;=1")&gt;0,COUNTIF(C43:H43,"&gt;=1")/6,"")</f>
        <v/>
      </c>
    </row>
    <row r="44">
      <c r="A44" s="25" t="inlineStr">
        <is>
          <t>Sep 27</t>
        </is>
      </c>
      <c r="B44" s="13" t="inlineStr">
        <is>
          <t>Sun</t>
        </is>
      </c>
      <c r="C44" s="31" t="n"/>
      <c r="D44" s="31" t="n"/>
      <c r="E44" s="31" t="n"/>
      <c r="F44" s="31" t="n"/>
      <c r="G44" s="31" t="n"/>
      <c r="H44" s="31" t="n"/>
      <c r="I44" s="26">
        <f>IF(COUNTIF(C44:H44,"&gt;=1")&gt;0,COUNTIF(C44:H44,"&gt;=1")/6,"")</f>
        <v/>
      </c>
    </row>
    <row r="45">
      <c r="A45" s="12" t="inlineStr">
        <is>
          <t>Sep 28</t>
        </is>
      </c>
      <c r="B45" s="29" t="inlineStr">
        <is>
          <t>Mon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2" t="inlineStr">
        <is>
          <t>Sep 29</t>
        </is>
      </c>
      <c r="B46" s="33" t="inlineStr">
        <is>
          <t>Tue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12" t="inlineStr">
        <is>
          <t>Sep 30</t>
        </is>
      </c>
      <c r="B47" s="29" t="inlineStr">
        <is>
          <t>Wed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7">
    <cfRule type="cellIs" priority="1" operator="equal" dxfId="3">
      <formula>1</formula>
    </cfRule>
  </conditionalFormatting>
  <conditionalFormatting sqref="D18:D47">
    <cfRule type="cellIs" priority="2" operator="equal" dxfId="3">
      <formula>1</formula>
    </cfRule>
  </conditionalFormatting>
  <conditionalFormatting sqref="E18:E47">
    <cfRule type="cellIs" priority="3" operator="equal" dxfId="3">
      <formula>1</formula>
    </cfRule>
  </conditionalFormatting>
  <conditionalFormatting sqref="F18:F47">
    <cfRule type="cellIs" priority="4" operator="equal" dxfId="3">
      <formula>1</formula>
    </cfRule>
  </conditionalFormatting>
  <conditionalFormatting sqref="G18:G47">
    <cfRule type="cellIs" priority="5" operator="equal" dxfId="3">
      <formula>1</formula>
    </cfRule>
  </conditionalFormatting>
  <conditionalFormatting sqref="H18:H47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D32"/>
    <outlinePr summaryBelow="1" summaryRight="1"/>
  </sheetPr>
  <dimension ref="A1:I48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OCTOBER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3</v>
      </c>
      <c r="C11" s="26">
        <f>MIN(COUNTIF(C46:C48,1)/2,1)</f>
        <v/>
      </c>
      <c r="D11" s="26">
        <f>MIN(COUNTIF(D46:D48,1)/2,1)</f>
        <v/>
      </c>
      <c r="E11" s="26">
        <f>MIN(COUNTIF(E46:E48,1)/3,1)</f>
        <v/>
      </c>
      <c r="F11" s="26">
        <f>MIN(COUNTIF(F46:F48,1)/3,1)</f>
        <v/>
      </c>
      <c r="G11" s="26">
        <f>MIN(COUNTIF(G46:G48,1)/3,1)</f>
        <v/>
      </c>
      <c r="H11" s="26">
        <f>MIN(COUNTIF(H46:H48,1)/2,1)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Oct 01</t>
        </is>
      </c>
      <c r="B18" s="29" t="inlineStr">
        <is>
          <t>Thu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12" t="inlineStr">
        <is>
          <t>Oct 02</t>
        </is>
      </c>
      <c r="B19" s="29" t="inlineStr">
        <is>
          <t>Fri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25" t="inlineStr">
        <is>
          <t>Oct 03</t>
        </is>
      </c>
      <c r="B20" s="13" t="inlineStr">
        <is>
          <t>Sat</t>
        </is>
      </c>
      <c r="C20" s="31" t="n"/>
      <c r="D20" s="31" t="n"/>
      <c r="E20" s="31" t="n"/>
      <c r="F20" s="31" t="n"/>
      <c r="G20" s="31" t="n"/>
      <c r="H20" s="31" t="n"/>
      <c r="I20" s="26">
        <f>IF(COUNTIF(C20:H20,"&gt;=1")&gt;0,COUNTIF(C20:H20,"&gt;=1")/6,"")</f>
        <v/>
      </c>
    </row>
    <row r="21">
      <c r="A21" s="25" t="inlineStr">
        <is>
          <t>Oct 04</t>
        </is>
      </c>
      <c r="B21" s="13" t="inlineStr">
        <is>
          <t>Sun</t>
        </is>
      </c>
      <c r="C21" s="31" t="n"/>
      <c r="D21" s="31" t="n"/>
      <c r="E21" s="31" t="n"/>
      <c r="F21" s="31" t="n"/>
      <c r="G21" s="31" t="n"/>
      <c r="H21" s="31" t="n"/>
      <c r="I21" s="26">
        <f>IF(COUNTIF(C21:H21,"&gt;=1")&gt;0,COUNTIF(C21:H21,"&gt;=1")/6,"")</f>
        <v/>
      </c>
    </row>
    <row r="22">
      <c r="A22" s="12" t="inlineStr">
        <is>
          <t>Oct 05</t>
        </is>
      </c>
      <c r="B22" s="29" t="inlineStr">
        <is>
          <t>Mon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12" t="inlineStr">
        <is>
          <t>Oct 06</t>
        </is>
      </c>
      <c r="B23" s="29" t="inlineStr">
        <is>
          <t>Tue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12" t="inlineStr">
        <is>
          <t>Oct 07</t>
        </is>
      </c>
      <c r="B24" s="29" t="inlineStr">
        <is>
          <t>Wed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2" t="inlineStr">
        <is>
          <t>Oct 08</t>
        </is>
      </c>
      <c r="B25" s="33" t="inlineStr">
        <is>
          <t>Thu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12" t="inlineStr">
        <is>
          <t>Oct 09</t>
        </is>
      </c>
      <c r="B26" s="29" t="inlineStr">
        <is>
          <t>Fri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25" t="inlineStr">
        <is>
          <t>Oct 10</t>
        </is>
      </c>
      <c r="B27" s="13" t="inlineStr">
        <is>
          <t>Sat</t>
        </is>
      </c>
      <c r="C27" s="31" t="n"/>
      <c r="D27" s="31" t="n"/>
      <c r="E27" s="31" t="n"/>
      <c r="F27" s="31" t="n"/>
      <c r="G27" s="31" t="n"/>
      <c r="H27" s="31" t="n"/>
      <c r="I27" s="26">
        <f>IF(COUNTIF(C27:H27,"&gt;=1")&gt;0,COUNTIF(C27:H27,"&gt;=1")/6,"")</f>
        <v/>
      </c>
    </row>
    <row r="28">
      <c r="A28" s="25" t="inlineStr">
        <is>
          <t>Oct 11</t>
        </is>
      </c>
      <c r="B28" s="13" t="inlineStr">
        <is>
          <t>Sun</t>
        </is>
      </c>
      <c r="C28" s="31" t="n"/>
      <c r="D28" s="31" t="n"/>
      <c r="E28" s="31" t="n"/>
      <c r="F28" s="31" t="n"/>
      <c r="G28" s="31" t="n"/>
      <c r="H28" s="31" t="n"/>
      <c r="I28" s="26">
        <f>IF(COUNTIF(C28:H28,"&gt;=1")&gt;0,COUNTIF(C28:H28,"&gt;=1")/6,"")</f>
        <v/>
      </c>
    </row>
    <row r="29">
      <c r="A29" s="12" t="inlineStr">
        <is>
          <t>Oct 12</t>
        </is>
      </c>
      <c r="B29" s="29" t="inlineStr">
        <is>
          <t>Mon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12" t="inlineStr">
        <is>
          <t>Oct 13</t>
        </is>
      </c>
      <c r="B30" s="29" t="inlineStr">
        <is>
          <t>Tue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12" t="inlineStr">
        <is>
          <t>Oct 14</t>
        </is>
      </c>
      <c r="B31" s="29" t="inlineStr">
        <is>
          <t>Wed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2" t="inlineStr">
        <is>
          <t>Oct 15</t>
        </is>
      </c>
      <c r="B32" s="33" t="inlineStr">
        <is>
          <t>Thu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12" t="inlineStr">
        <is>
          <t>Oct 16</t>
        </is>
      </c>
      <c r="B33" s="29" t="inlineStr">
        <is>
          <t>Fri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25" t="inlineStr">
        <is>
          <t>Oct 17</t>
        </is>
      </c>
      <c r="B34" s="13" t="inlineStr">
        <is>
          <t>Sat</t>
        </is>
      </c>
      <c r="C34" s="31" t="n"/>
      <c r="D34" s="31" t="n"/>
      <c r="E34" s="31" t="n"/>
      <c r="F34" s="31" t="n"/>
      <c r="G34" s="31" t="n"/>
      <c r="H34" s="31" t="n"/>
      <c r="I34" s="26">
        <f>IF(COUNTIF(C34:H34,"&gt;=1")&gt;0,COUNTIF(C34:H34,"&gt;=1")/6,"")</f>
        <v/>
      </c>
    </row>
    <row r="35">
      <c r="A35" s="25" t="inlineStr">
        <is>
          <t>Oct 18</t>
        </is>
      </c>
      <c r="B35" s="13" t="inlineStr">
        <is>
          <t>Sun</t>
        </is>
      </c>
      <c r="C35" s="31" t="n"/>
      <c r="D35" s="31" t="n"/>
      <c r="E35" s="31" t="n"/>
      <c r="F35" s="31" t="n"/>
      <c r="G35" s="31" t="n"/>
      <c r="H35" s="31" t="n"/>
      <c r="I35" s="26">
        <f>IF(COUNTIF(C35:H35,"&gt;=1")&gt;0,COUNTIF(C35:H35,"&gt;=1")/6,"")</f>
        <v/>
      </c>
    </row>
    <row r="36">
      <c r="A36" s="12" t="inlineStr">
        <is>
          <t>Oct 19</t>
        </is>
      </c>
      <c r="B36" s="29" t="inlineStr">
        <is>
          <t>Mon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12" t="inlineStr">
        <is>
          <t>Oct 20</t>
        </is>
      </c>
      <c r="B37" s="29" t="inlineStr">
        <is>
          <t>Tue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12" t="inlineStr">
        <is>
          <t>Oct 21</t>
        </is>
      </c>
      <c r="B38" s="29" t="inlineStr">
        <is>
          <t>Wed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2" t="inlineStr">
        <is>
          <t>Oct 22</t>
        </is>
      </c>
      <c r="B39" s="33" t="inlineStr">
        <is>
          <t>Thu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12" t="inlineStr">
        <is>
          <t>Oct 23</t>
        </is>
      </c>
      <c r="B40" s="29" t="inlineStr">
        <is>
          <t>Fri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25" t="inlineStr">
        <is>
          <t>Oct 24</t>
        </is>
      </c>
      <c r="B41" s="13" t="inlineStr">
        <is>
          <t>Sat</t>
        </is>
      </c>
      <c r="C41" s="31" t="n"/>
      <c r="D41" s="31" t="n"/>
      <c r="E41" s="31" t="n"/>
      <c r="F41" s="31" t="n"/>
      <c r="G41" s="31" t="n"/>
      <c r="H41" s="31" t="n"/>
      <c r="I41" s="26">
        <f>IF(COUNTIF(C41:H41,"&gt;=1")&gt;0,COUNTIF(C41:H41,"&gt;=1")/6,"")</f>
        <v/>
      </c>
    </row>
    <row r="42">
      <c r="A42" s="25" t="inlineStr">
        <is>
          <t>Oct 25</t>
        </is>
      </c>
      <c r="B42" s="13" t="inlineStr">
        <is>
          <t>Sun</t>
        </is>
      </c>
      <c r="C42" s="31" t="n"/>
      <c r="D42" s="31" t="n"/>
      <c r="E42" s="31" t="n"/>
      <c r="F42" s="31" t="n"/>
      <c r="G42" s="31" t="n"/>
      <c r="H42" s="31" t="n"/>
      <c r="I42" s="26">
        <f>IF(COUNTIF(C42:H42,"&gt;=1")&gt;0,COUNTIF(C42:H42,"&gt;=1")/6,"")</f>
        <v/>
      </c>
    </row>
    <row r="43">
      <c r="A43" s="12" t="inlineStr">
        <is>
          <t>Oct 26</t>
        </is>
      </c>
      <c r="B43" s="29" t="inlineStr">
        <is>
          <t>Mon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12" t="inlineStr">
        <is>
          <t>Oct 27</t>
        </is>
      </c>
      <c r="B44" s="29" t="inlineStr">
        <is>
          <t>Tue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12" t="inlineStr">
        <is>
          <t>Oct 28</t>
        </is>
      </c>
      <c r="B45" s="29" t="inlineStr">
        <is>
          <t>Wed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2" t="inlineStr">
        <is>
          <t>Oct 29</t>
        </is>
      </c>
      <c r="B46" s="33" t="inlineStr">
        <is>
          <t>Thu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12" t="inlineStr">
        <is>
          <t>Oct 30</t>
        </is>
      </c>
      <c r="B47" s="29" t="inlineStr">
        <is>
          <t>Fri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  <row r="48">
      <c r="A48" s="25" t="inlineStr">
        <is>
          <t>Oct 31</t>
        </is>
      </c>
      <c r="B48" s="13" t="inlineStr">
        <is>
          <t>Sat</t>
        </is>
      </c>
      <c r="C48" s="31" t="n"/>
      <c r="D48" s="31" t="n"/>
      <c r="E48" s="31" t="n"/>
      <c r="F48" s="31" t="n"/>
      <c r="G48" s="31" t="n"/>
      <c r="H48" s="31" t="n"/>
      <c r="I48" s="26">
        <f>IF(COUNTIF(C48:H48,"&gt;=1")&gt;0,COUNTIF(C48:H48,"&gt;=1")/6,"")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8">
    <cfRule type="cellIs" priority="1" operator="equal" dxfId="3">
      <formula>1</formula>
    </cfRule>
  </conditionalFormatting>
  <conditionalFormatting sqref="D18:D48">
    <cfRule type="cellIs" priority="2" operator="equal" dxfId="3">
      <formula>1</formula>
    </cfRule>
  </conditionalFormatting>
  <conditionalFormatting sqref="E18:E48">
    <cfRule type="cellIs" priority="3" operator="equal" dxfId="3">
      <formula>1</formula>
    </cfRule>
  </conditionalFormatting>
  <conditionalFormatting sqref="F18:F48">
    <cfRule type="cellIs" priority="4" operator="equal" dxfId="3">
      <formula>1</formula>
    </cfRule>
  </conditionalFormatting>
  <conditionalFormatting sqref="G18:G48">
    <cfRule type="cellIs" priority="5" operator="equal" dxfId="3">
      <formula>1</formula>
    </cfRule>
  </conditionalFormatting>
  <conditionalFormatting sqref="H18:H48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D32"/>
    <outlinePr summaryBelow="1" summaryRight="1"/>
  </sheetPr>
  <dimension ref="A1:I47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NOVEMBER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2</v>
      </c>
      <c r="C11" s="26">
        <f>MIN(COUNTIF(C46:C47,1)/1,1)</f>
        <v/>
      </c>
      <c r="D11" s="26">
        <f>MIN(COUNTIF(D46:D47,1)/1,1)</f>
        <v/>
      </c>
      <c r="E11" s="26">
        <f>MIN(COUNTIF(E46:E47,1)/2,1)</f>
        <v/>
      </c>
      <c r="F11" s="26">
        <f>MIN(COUNTIF(F46:F47,1)/2,1)</f>
        <v/>
      </c>
      <c r="G11" s="26">
        <f>MIN(COUNTIF(G46:G47,1)/2,1)</f>
        <v/>
      </c>
      <c r="H11" s="26">
        <f>MIN(COUNTIF(H46:H47,1)/1,1)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25" t="inlineStr">
        <is>
          <t>Nov 01</t>
        </is>
      </c>
      <c r="B18" s="13" t="inlineStr">
        <is>
          <t>Sun</t>
        </is>
      </c>
      <c r="C18" s="31" t="n"/>
      <c r="D18" s="31" t="n"/>
      <c r="E18" s="31" t="n"/>
      <c r="F18" s="31" t="n"/>
      <c r="G18" s="31" t="n"/>
      <c r="H18" s="31" t="n"/>
      <c r="I18" s="26">
        <f>IF(COUNTIF(C18:H18,"&gt;=1")&gt;0,COUNTIF(C18:H18,"&gt;=1")/6,"")</f>
        <v/>
      </c>
    </row>
    <row r="19">
      <c r="A19" s="12" t="inlineStr">
        <is>
          <t>Nov 02</t>
        </is>
      </c>
      <c r="B19" s="29" t="inlineStr">
        <is>
          <t>Mon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Nov 03</t>
        </is>
      </c>
      <c r="B20" s="29" t="inlineStr">
        <is>
          <t>Tue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12" t="inlineStr">
        <is>
          <t>Nov 04</t>
        </is>
      </c>
      <c r="B21" s="29" t="inlineStr">
        <is>
          <t>Wed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12" t="inlineStr">
        <is>
          <t>Nov 05</t>
        </is>
      </c>
      <c r="B22" s="29" t="inlineStr">
        <is>
          <t>Thu</t>
        </is>
      </c>
      <c r="C22" s="30" t="n"/>
      <c r="D22" s="30" t="n"/>
      <c r="E22" s="30" t="n"/>
      <c r="F22" s="30" t="n"/>
      <c r="G22" s="30" t="n"/>
      <c r="H22" s="30" t="n"/>
      <c r="I22" s="14">
        <f>IF(COUNTIF(C22:H22,"&gt;=1")&gt;0,COUNTIF(C22:H22,"&gt;=1")/6,"")</f>
        <v/>
      </c>
    </row>
    <row r="23">
      <c r="A23" s="12" t="inlineStr">
        <is>
          <t>Nov 06</t>
        </is>
      </c>
      <c r="B23" s="29" t="inlineStr">
        <is>
          <t>Fri</t>
        </is>
      </c>
      <c r="C23" s="30" t="n"/>
      <c r="D23" s="30" t="n"/>
      <c r="E23" s="30" t="n"/>
      <c r="F23" s="30" t="n"/>
      <c r="G23" s="30" t="n"/>
      <c r="H23" s="30" t="n"/>
      <c r="I23" s="14">
        <f>IF(COUNTIF(C23:H23,"&gt;=1")&gt;0,COUNTIF(C23:H23,"&gt;=1")/6,"")</f>
        <v/>
      </c>
    </row>
    <row r="24">
      <c r="A24" s="25" t="inlineStr">
        <is>
          <t>Nov 07</t>
        </is>
      </c>
      <c r="B24" s="13" t="inlineStr">
        <is>
          <t>Sat</t>
        </is>
      </c>
      <c r="C24" s="31" t="n"/>
      <c r="D24" s="31" t="n"/>
      <c r="E24" s="31" t="n"/>
      <c r="F24" s="31" t="n"/>
      <c r="G24" s="31" t="n"/>
      <c r="H24" s="31" t="n"/>
      <c r="I24" s="26">
        <f>IF(COUNTIF(C24:H24,"&gt;=1")&gt;0,COUNTIF(C24:H24,"&gt;=1")/6,"")</f>
        <v/>
      </c>
    </row>
    <row r="25">
      <c r="A25" s="36" t="inlineStr">
        <is>
          <t>Nov 08</t>
        </is>
      </c>
      <c r="B25" s="37" t="inlineStr">
        <is>
          <t>Sun</t>
        </is>
      </c>
      <c r="C25" s="38" t="n"/>
      <c r="D25" s="38" t="n"/>
      <c r="E25" s="38" t="n"/>
      <c r="F25" s="38" t="n"/>
      <c r="G25" s="38" t="n"/>
      <c r="H25" s="38" t="n"/>
      <c r="I25" s="39">
        <f>IF(COUNTIF(C25:H25,"&gt;=1")&gt;0,COUNTIF(C25:H25,"&gt;=1")/6,"")</f>
        <v/>
      </c>
    </row>
    <row r="26">
      <c r="A26" s="12" t="inlineStr">
        <is>
          <t>Nov 09</t>
        </is>
      </c>
      <c r="B26" s="29" t="inlineStr">
        <is>
          <t>Mon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Nov 10</t>
        </is>
      </c>
      <c r="B27" s="29" t="inlineStr">
        <is>
          <t>Tue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12" t="inlineStr">
        <is>
          <t>Nov 11</t>
        </is>
      </c>
      <c r="B28" s="29" t="inlineStr">
        <is>
          <t>Wed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12" t="inlineStr">
        <is>
          <t>Nov 12</t>
        </is>
      </c>
      <c r="B29" s="29" t="inlineStr">
        <is>
          <t>Thu</t>
        </is>
      </c>
      <c r="C29" s="30" t="n"/>
      <c r="D29" s="30" t="n"/>
      <c r="E29" s="30" t="n"/>
      <c r="F29" s="30" t="n"/>
      <c r="G29" s="30" t="n"/>
      <c r="H29" s="30" t="n"/>
      <c r="I29" s="14">
        <f>IF(COUNTIF(C29:H29,"&gt;=1")&gt;0,COUNTIF(C29:H29,"&gt;=1")/6,"")</f>
        <v/>
      </c>
    </row>
    <row r="30">
      <c r="A30" s="12" t="inlineStr">
        <is>
          <t>Nov 13</t>
        </is>
      </c>
      <c r="B30" s="29" t="inlineStr">
        <is>
          <t>Fri</t>
        </is>
      </c>
      <c r="C30" s="30" t="n"/>
      <c r="D30" s="30" t="n"/>
      <c r="E30" s="30" t="n"/>
      <c r="F30" s="30" t="n"/>
      <c r="G30" s="30" t="n"/>
      <c r="H30" s="30" t="n"/>
      <c r="I30" s="14">
        <f>IF(COUNTIF(C30:H30,"&gt;=1")&gt;0,COUNTIF(C30:H30,"&gt;=1")/6,"")</f>
        <v/>
      </c>
    </row>
    <row r="31">
      <c r="A31" s="25" t="inlineStr">
        <is>
          <t>Nov 14</t>
        </is>
      </c>
      <c r="B31" s="13" t="inlineStr">
        <is>
          <t>Sat</t>
        </is>
      </c>
      <c r="C31" s="31" t="n"/>
      <c r="D31" s="31" t="n"/>
      <c r="E31" s="31" t="n"/>
      <c r="F31" s="31" t="n"/>
      <c r="G31" s="31" t="n"/>
      <c r="H31" s="31" t="n"/>
      <c r="I31" s="26">
        <f>IF(COUNTIF(C31:H31,"&gt;=1")&gt;0,COUNTIF(C31:H31,"&gt;=1")/6,"")</f>
        <v/>
      </c>
    </row>
    <row r="32">
      <c r="A32" s="36" t="inlineStr">
        <is>
          <t>Nov 15</t>
        </is>
      </c>
      <c r="B32" s="37" t="inlineStr">
        <is>
          <t>Sun</t>
        </is>
      </c>
      <c r="C32" s="38" t="n"/>
      <c r="D32" s="38" t="n"/>
      <c r="E32" s="38" t="n"/>
      <c r="F32" s="38" t="n"/>
      <c r="G32" s="38" t="n"/>
      <c r="H32" s="38" t="n"/>
      <c r="I32" s="39">
        <f>IF(COUNTIF(C32:H32,"&gt;=1")&gt;0,COUNTIF(C32:H32,"&gt;=1")/6,"")</f>
        <v/>
      </c>
    </row>
    <row r="33">
      <c r="A33" s="12" t="inlineStr">
        <is>
          <t>Nov 16</t>
        </is>
      </c>
      <c r="B33" s="29" t="inlineStr">
        <is>
          <t>Mon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Nov 17</t>
        </is>
      </c>
      <c r="B34" s="29" t="inlineStr">
        <is>
          <t>Tue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12" t="inlineStr">
        <is>
          <t>Nov 18</t>
        </is>
      </c>
      <c r="B35" s="29" t="inlineStr">
        <is>
          <t>Wed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12" t="inlineStr">
        <is>
          <t>Nov 19</t>
        </is>
      </c>
      <c r="B36" s="29" t="inlineStr">
        <is>
          <t>Thu</t>
        </is>
      </c>
      <c r="C36" s="30" t="n"/>
      <c r="D36" s="30" t="n"/>
      <c r="E36" s="30" t="n"/>
      <c r="F36" s="30" t="n"/>
      <c r="G36" s="30" t="n"/>
      <c r="H36" s="30" t="n"/>
      <c r="I36" s="14">
        <f>IF(COUNTIF(C36:H36,"&gt;=1")&gt;0,COUNTIF(C36:H36,"&gt;=1")/6,"")</f>
        <v/>
      </c>
    </row>
    <row r="37">
      <c r="A37" s="12" t="inlineStr">
        <is>
          <t>Nov 20</t>
        </is>
      </c>
      <c r="B37" s="29" t="inlineStr">
        <is>
          <t>Fri</t>
        </is>
      </c>
      <c r="C37" s="30" t="n"/>
      <c r="D37" s="30" t="n"/>
      <c r="E37" s="30" t="n"/>
      <c r="F37" s="30" t="n"/>
      <c r="G37" s="30" t="n"/>
      <c r="H37" s="30" t="n"/>
      <c r="I37" s="14">
        <f>IF(COUNTIF(C37:H37,"&gt;=1")&gt;0,COUNTIF(C37:H37,"&gt;=1")/6,"")</f>
        <v/>
      </c>
    </row>
    <row r="38">
      <c r="A38" s="25" t="inlineStr">
        <is>
          <t>Nov 21</t>
        </is>
      </c>
      <c r="B38" s="13" t="inlineStr">
        <is>
          <t>Sat</t>
        </is>
      </c>
      <c r="C38" s="31" t="n"/>
      <c r="D38" s="31" t="n"/>
      <c r="E38" s="31" t="n"/>
      <c r="F38" s="31" t="n"/>
      <c r="G38" s="31" t="n"/>
      <c r="H38" s="31" t="n"/>
      <c r="I38" s="26">
        <f>IF(COUNTIF(C38:H38,"&gt;=1")&gt;0,COUNTIF(C38:H38,"&gt;=1")/6,"")</f>
        <v/>
      </c>
    </row>
    <row r="39">
      <c r="A39" s="36" t="inlineStr">
        <is>
          <t>Nov 22</t>
        </is>
      </c>
      <c r="B39" s="37" t="inlineStr">
        <is>
          <t>Sun</t>
        </is>
      </c>
      <c r="C39" s="38" t="n"/>
      <c r="D39" s="38" t="n"/>
      <c r="E39" s="38" t="n"/>
      <c r="F39" s="38" t="n"/>
      <c r="G39" s="38" t="n"/>
      <c r="H39" s="38" t="n"/>
      <c r="I39" s="39">
        <f>IF(COUNTIF(C39:H39,"&gt;=1")&gt;0,COUNTIF(C39:H39,"&gt;=1")/6,"")</f>
        <v/>
      </c>
    </row>
    <row r="40">
      <c r="A40" s="12" t="inlineStr">
        <is>
          <t>Nov 23</t>
        </is>
      </c>
      <c r="B40" s="29" t="inlineStr">
        <is>
          <t>Mon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Nov 24</t>
        </is>
      </c>
      <c r="B41" s="29" t="inlineStr">
        <is>
          <t>Tue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12" t="inlineStr">
        <is>
          <t>Nov 25</t>
        </is>
      </c>
      <c r="B42" s="29" t="inlineStr">
        <is>
          <t>Wed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12" t="inlineStr">
        <is>
          <t>Nov 26</t>
        </is>
      </c>
      <c r="B43" s="29" t="inlineStr">
        <is>
          <t>Thu</t>
        </is>
      </c>
      <c r="C43" s="30" t="n"/>
      <c r="D43" s="30" t="n"/>
      <c r="E43" s="30" t="n"/>
      <c r="F43" s="30" t="n"/>
      <c r="G43" s="30" t="n"/>
      <c r="H43" s="30" t="n"/>
      <c r="I43" s="14">
        <f>IF(COUNTIF(C43:H43,"&gt;=1")&gt;0,COUNTIF(C43:H43,"&gt;=1")/6,"")</f>
        <v/>
      </c>
    </row>
    <row r="44">
      <c r="A44" s="12" t="inlineStr">
        <is>
          <t>Nov 27</t>
        </is>
      </c>
      <c r="B44" s="29" t="inlineStr">
        <is>
          <t>Fri</t>
        </is>
      </c>
      <c r="C44" s="30" t="n"/>
      <c r="D44" s="30" t="n"/>
      <c r="E44" s="30" t="n"/>
      <c r="F44" s="30" t="n"/>
      <c r="G44" s="30" t="n"/>
      <c r="H44" s="30" t="n"/>
      <c r="I44" s="14">
        <f>IF(COUNTIF(C44:H44,"&gt;=1")&gt;0,COUNTIF(C44:H44,"&gt;=1")/6,"")</f>
        <v/>
      </c>
    </row>
    <row r="45">
      <c r="A45" s="25" t="inlineStr">
        <is>
          <t>Nov 28</t>
        </is>
      </c>
      <c r="B45" s="13" t="inlineStr">
        <is>
          <t>Sat</t>
        </is>
      </c>
      <c r="C45" s="31" t="n"/>
      <c r="D45" s="31" t="n"/>
      <c r="E45" s="31" t="n"/>
      <c r="F45" s="31" t="n"/>
      <c r="G45" s="31" t="n"/>
      <c r="H45" s="31" t="n"/>
      <c r="I45" s="26">
        <f>IF(COUNTIF(C45:H45,"&gt;=1")&gt;0,COUNTIF(C45:H45,"&gt;=1")/6,"")</f>
        <v/>
      </c>
    </row>
    <row r="46">
      <c r="A46" s="36" t="inlineStr">
        <is>
          <t>Nov 29</t>
        </is>
      </c>
      <c r="B46" s="37" t="inlineStr">
        <is>
          <t>Sun</t>
        </is>
      </c>
      <c r="C46" s="38" t="n"/>
      <c r="D46" s="38" t="n"/>
      <c r="E46" s="38" t="n"/>
      <c r="F46" s="38" t="n"/>
      <c r="G46" s="38" t="n"/>
      <c r="H46" s="38" t="n"/>
      <c r="I46" s="39">
        <f>IF(COUNTIF(C46:H46,"&gt;=1")&gt;0,COUNTIF(C46:H46,"&gt;=1")/6,"")</f>
        <v/>
      </c>
    </row>
    <row r="47">
      <c r="A47" s="12" t="inlineStr">
        <is>
          <t>Nov 30</t>
        </is>
      </c>
      <c r="B47" s="29" t="inlineStr">
        <is>
          <t>Mon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7">
    <cfRule type="cellIs" priority="1" operator="equal" dxfId="3">
      <formula>1</formula>
    </cfRule>
  </conditionalFormatting>
  <conditionalFormatting sqref="D18:D47">
    <cfRule type="cellIs" priority="2" operator="equal" dxfId="3">
      <formula>1</formula>
    </cfRule>
  </conditionalFormatting>
  <conditionalFormatting sqref="E18:E47">
    <cfRule type="cellIs" priority="3" operator="equal" dxfId="3">
      <formula>1</formula>
    </cfRule>
  </conditionalFormatting>
  <conditionalFormatting sqref="F18:F47">
    <cfRule type="cellIs" priority="4" operator="equal" dxfId="3">
      <formula>1</formula>
    </cfRule>
  </conditionalFormatting>
  <conditionalFormatting sqref="G18:G47">
    <cfRule type="cellIs" priority="5" operator="equal" dxfId="3">
      <formula>1</formula>
    </cfRule>
  </conditionalFormatting>
  <conditionalFormatting sqref="H18:H47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D32"/>
    <outlinePr summaryBelow="1" summaryRight="1"/>
  </sheetPr>
  <dimension ref="A1:I48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DECEMBER 2026</t>
        </is>
      </c>
    </row>
    <row r="2">
      <c r="A2" s="2" t="inlineStr">
        <is>
          <t>CONSISTENCY TRACKER</t>
        </is>
      </c>
    </row>
    <row r="3">
      <c r="A3" s="23" t="inlineStr">
        <is>
          <t>Targets →</t>
        </is>
      </c>
      <c r="B3" s="24" t="inlineStr"/>
      <c r="C3" s="7" t="inlineStr">
        <is>
          <t>5/wk</t>
        </is>
      </c>
      <c r="D3" s="7" t="inlineStr">
        <is>
          <t>5/wk</t>
        </is>
      </c>
      <c r="E3" s="7" t="inlineStr">
        <is>
          <t>7/wk</t>
        </is>
      </c>
      <c r="F3" s="7" t="inlineStr">
        <is>
          <t>7/wk</t>
        </is>
      </c>
      <c r="G3" s="7" t="inlineStr">
        <is>
          <t>7/wk</t>
        </is>
      </c>
      <c r="H3" s="7" t="inlineStr">
        <is>
          <t>5/wk</t>
        </is>
      </c>
      <c r="I3" s="24" t="inlineStr"/>
    </row>
    <row r="5">
      <c r="A5" s="8" t="inlineStr">
        <is>
          <t>WEEKLY BREAKDOWN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1" t="inlineStr">
        <is>
          <t>Week</t>
        </is>
      </c>
      <c r="B6" s="11" t="inlineStr">
        <is>
          <t>Days</t>
        </is>
      </c>
      <c r="C6" s="11" t="inlineStr">
        <is>
          <t>Gym</t>
        </is>
      </c>
      <c r="D6" s="11" t="inlineStr">
        <is>
          <t>Speaking</t>
        </is>
      </c>
      <c r="E6" s="11" t="inlineStr">
        <is>
          <t>Wake Early</t>
        </is>
      </c>
      <c r="F6" s="11" t="inlineStr">
        <is>
          <t>Eat Clean</t>
        </is>
      </c>
      <c r="G6" s="11" t="inlineStr">
        <is>
          <t>Calories</t>
        </is>
      </c>
      <c r="H6" s="11" t="inlineStr">
        <is>
          <t>Coding</t>
        </is>
      </c>
      <c r="I6" s="11" t="inlineStr">
        <is>
          <t>Avg</t>
        </is>
      </c>
    </row>
    <row r="7">
      <c r="A7" s="25" t="inlineStr">
        <is>
          <t>Week 1</t>
        </is>
      </c>
      <c r="B7" s="13" t="n">
        <v>7</v>
      </c>
      <c r="C7" s="26">
        <f>MIN(COUNTIF(C18:C24,1)/5,1)</f>
        <v/>
      </c>
      <c r="D7" s="26">
        <f>MIN(COUNTIF(D18:D24,1)/5,1)</f>
        <v/>
      </c>
      <c r="E7" s="26">
        <f>MIN(COUNTIF(E18:E24,1)/7,1)</f>
        <v/>
      </c>
      <c r="F7" s="26">
        <f>MIN(COUNTIF(F18:F24,1)/7,1)</f>
        <v/>
      </c>
      <c r="G7" s="26">
        <f>MIN(COUNTIF(G18:G24,1)/7,1)</f>
        <v/>
      </c>
      <c r="H7" s="26">
        <f>MIN(COUNTIF(H18:H24,1)/5,1)</f>
        <v/>
      </c>
      <c r="I7" s="27">
        <f>AVERAGE(C7,D7,E7,F7,G7,H7)</f>
        <v/>
      </c>
    </row>
    <row r="8">
      <c r="A8" s="25" t="inlineStr">
        <is>
          <t>Week 2</t>
        </is>
      </c>
      <c r="B8" s="13" t="n">
        <v>7</v>
      </c>
      <c r="C8" s="26">
        <f>MIN(COUNTIF(C25:C31,1)/5,1)</f>
        <v/>
      </c>
      <c r="D8" s="26">
        <f>MIN(COUNTIF(D25:D31,1)/5,1)</f>
        <v/>
      </c>
      <c r="E8" s="26">
        <f>MIN(COUNTIF(E25:E31,1)/7,1)</f>
        <v/>
      </c>
      <c r="F8" s="26">
        <f>MIN(COUNTIF(F25:F31,1)/7,1)</f>
        <v/>
      </c>
      <c r="G8" s="26">
        <f>MIN(COUNTIF(G25:G31,1)/7,1)</f>
        <v/>
      </c>
      <c r="H8" s="26">
        <f>MIN(COUNTIF(H25:H31,1)/5,1)</f>
        <v/>
      </c>
      <c r="I8" s="27">
        <f>AVERAGE(C8,D8,E8,F8,G8,H8)</f>
        <v/>
      </c>
    </row>
    <row r="9">
      <c r="A9" s="25" t="inlineStr">
        <is>
          <t>Week 3</t>
        </is>
      </c>
      <c r="B9" s="13" t="n">
        <v>7</v>
      </c>
      <c r="C9" s="26">
        <f>MIN(COUNTIF(C32:C38,1)/5,1)</f>
        <v/>
      </c>
      <c r="D9" s="26">
        <f>MIN(COUNTIF(D32:D38,1)/5,1)</f>
        <v/>
      </c>
      <c r="E9" s="26">
        <f>MIN(COUNTIF(E32:E38,1)/7,1)</f>
        <v/>
      </c>
      <c r="F9" s="26">
        <f>MIN(COUNTIF(F32:F38,1)/7,1)</f>
        <v/>
      </c>
      <c r="G9" s="26">
        <f>MIN(COUNTIF(G32:G38,1)/7,1)</f>
        <v/>
      </c>
      <c r="H9" s="26">
        <f>MIN(COUNTIF(H32:H38,1)/5,1)</f>
        <v/>
      </c>
      <c r="I9" s="27">
        <f>AVERAGE(C9,D9,E9,F9,G9,H9)</f>
        <v/>
      </c>
    </row>
    <row r="10">
      <c r="A10" s="25" t="inlineStr">
        <is>
          <t>Week 4</t>
        </is>
      </c>
      <c r="B10" s="13" t="n">
        <v>7</v>
      </c>
      <c r="C10" s="26">
        <f>MIN(COUNTIF(C39:C45,1)/5,1)</f>
        <v/>
      </c>
      <c r="D10" s="26">
        <f>MIN(COUNTIF(D39:D45,1)/5,1)</f>
        <v/>
      </c>
      <c r="E10" s="26">
        <f>MIN(COUNTIF(E39:E45,1)/7,1)</f>
        <v/>
      </c>
      <c r="F10" s="26">
        <f>MIN(COUNTIF(F39:F45,1)/7,1)</f>
        <v/>
      </c>
      <c r="G10" s="26">
        <f>MIN(COUNTIF(G39:G45,1)/7,1)</f>
        <v/>
      </c>
      <c r="H10" s="26">
        <f>MIN(COUNTIF(H39:H45,1)/5,1)</f>
        <v/>
      </c>
      <c r="I10" s="27">
        <f>AVERAGE(C10,D10,E10,F10,G10,H10)</f>
        <v/>
      </c>
    </row>
    <row r="11">
      <c r="A11" s="25" t="inlineStr">
        <is>
          <t>Week 5</t>
        </is>
      </c>
      <c r="B11" s="13" t="n">
        <v>3</v>
      </c>
      <c r="C11" s="26">
        <f>MIN(COUNTIF(C46:C48,1)/2,1)</f>
        <v/>
      </c>
      <c r="D11" s="26">
        <f>MIN(COUNTIF(D46:D48,1)/2,1)</f>
        <v/>
      </c>
      <c r="E11" s="26">
        <f>MIN(COUNTIF(E46:E48,1)/3,1)</f>
        <v/>
      </c>
      <c r="F11" s="26">
        <f>MIN(COUNTIF(F46:F48,1)/3,1)</f>
        <v/>
      </c>
      <c r="G11" s="26">
        <f>MIN(COUNTIF(G46:G48,1)/3,1)</f>
        <v/>
      </c>
      <c r="H11" s="26">
        <f>MIN(COUNTIF(H46:H48,1)/2,1)</f>
        <v/>
      </c>
      <c r="I11" s="27">
        <f>AVERAGE(C11,D11,E11,F11,G11,H11)</f>
        <v/>
      </c>
    </row>
    <row r="13">
      <c r="A13" s="8" t="inlineStr">
        <is>
          <t>MONTHLY CONSISTENCY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23" t="inlineStr">
        <is>
          <t>Average</t>
        </is>
      </c>
      <c r="B14" s="24" t="inlineStr"/>
      <c r="C14" s="15">
        <f>AVERAGE(C7:C11)</f>
        <v/>
      </c>
      <c r="D14" s="15">
        <f>AVERAGE(D7:D11)</f>
        <v/>
      </c>
      <c r="E14" s="15">
        <f>AVERAGE(E7:E11)</f>
        <v/>
      </c>
      <c r="F14" s="15">
        <f>AVERAGE(F7:F11)</f>
        <v/>
      </c>
      <c r="G14" s="15">
        <f>AVERAGE(G7:G11)</f>
        <v/>
      </c>
      <c r="H14" s="15">
        <f>AVERAGE(H7:H11)</f>
        <v/>
      </c>
      <c r="I14" s="28">
        <f>AVERAGE(C14,D14,E14,F14,G14,H14)</f>
        <v/>
      </c>
    </row>
    <row r="16">
      <c r="A16" s="8" t="inlineStr">
        <is>
          <t>DAILY LOG  ·  Enter 1 when done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1" t="inlineStr">
        <is>
          <t>Date</t>
        </is>
      </c>
      <c r="B17" s="11" t="inlineStr">
        <is>
          <t>Day</t>
        </is>
      </c>
      <c r="C17" s="11" t="inlineStr">
        <is>
          <t>Gym</t>
        </is>
      </c>
      <c r="D17" s="11" t="inlineStr">
        <is>
          <t>Speaking</t>
        </is>
      </c>
      <c r="E17" s="11" t="inlineStr">
        <is>
          <t>Wake Early</t>
        </is>
      </c>
      <c r="F17" s="11" t="inlineStr">
        <is>
          <t>Eat Clean</t>
        </is>
      </c>
      <c r="G17" s="11" t="inlineStr">
        <is>
          <t>Calories</t>
        </is>
      </c>
      <c r="H17" s="11" t="inlineStr">
        <is>
          <t>Coding</t>
        </is>
      </c>
      <c r="I17" s="11" t="inlineStr">
        <is>
          <t>Score</t>
        </is>
      </c>
    </row>
    <row r="18">
      <c r="A18" s="12" t="inlineStr">
        <is>
          <t>Dec 01</t>
        </is>
      </c>
      <c r="B18" s="29" t="inlineStr">
        <is>
          <t>Tue</t>
        </is>
      </c>
      <c r="C18" s="30" t="n"/>
      <c r="D18" s="30" t="n"/>
      <c r="E18" s="30" t="n"/>
      <c r="F18" s="30" t="n"/>
      <c r="G18" s="30" t="n"/>
      <c r="H18" s="30" t="n"/>
      <c r="I18" s="14">
        <f>IF(COUNTIF(C18:H18,"&gt;=1")&gt;0,COUNTIF(C18:H18,"&gt;=1")/6,"")</f>
        <v/>
      </c>
    </row>
    <row r="19">
      <c r="A19" s="12" t="inlineStr">
        <is>
          <t>Dec 02</t>
        </is>
      </c>
      <c r="B19" s="29" t="inlineStr">
        <is>
          <t>Wed</t>
        </is>
      </c>
      <c r="C19" s="30" t="n"/>
      <c r="D19" s="30" t="n"/>
      <c r="E19" s="30" t="n"/>
      <c r="F19" s="30" t="n"/>
      <c r="G19" s="30" t="n"/>
      <c r="H19" s="30" t="n"/>
      <c r="I19" s="14">
        <f>IF(COUNTIF(C19:H19,"&gt;=1")&gt;0,COUNTIF(C19:H19,"&gt;=1")/6,"")</f>
        <v/>
      </c>
    </row>
    <row r="20">
      <c r="A20" s="12" t="inlineStr">
        <is>
          <t>Dec 03</t>
        </is>
      </c>
      <c r="B20" s="29" t="inlineStr">
        <is>
          <t>Thu</t>
        </is>
      </c>
      <c r="C20" s="30" t="n"/>
      <c r="D20" s="30" t="n"/>
      <c r="E20" s="30" t="n"/>
      <c r="F20" s="30" t="n"/>
      <c r="G20" s="30" t="n"/>
      <c r="H20" s="30" t="n"/>
      <c r="I20" s="14">
        <f>IF(COUNTIF(C20:H20,"&gt;=1")&gt;0,COUNTIF(C20:H20,"&gt;=1")/6,"")</f>
        <v/>
      </c>
    </row>
    <row r="21">
      <c r="A21" s="12" t="inlineStr">
        <is>
          <t>Dec 04</t>
        </is>
      </c>
      <c r="B21" s="29" t="inlineStr">
        <is>
          <t>Fri</t>
        </is>
      </c>
      <c r="C21" s="30" t="n"/>
      <c r="D21" s="30" t="n"/>
      <c r="E21" s="30" t="n"/>
      <c r="F21" s="30" t="n"/>
      <c r="G21" s="30" t="n"/>
      <c r="H21" s="30" t="n"/>
      <c r="I21" s="14">
        <f>IF(COUNTIF(C21:H21,"&gt;=1")&gt;0,COUNTIF(C21:H21,"&gt;=1")/6,"")</f>
        <v/>
      </c>
    </row>
    <row r="22">
      <c r="A22" s="25" t="inlineStr">
        <is>
          <t>Dec 05</t>
        </is>
      </c>
      <c r="B22" s="13" t="inlineStr">
        <is>
          <t>Sat</t>
        </is>
      </c>
      <c r="C22" s="31" t="n"/>
      <c r="D22" s="31" t="n"/>
      <c r="E22" s="31" t="n"/>
      <c r="F22" s="31" t="n"/>
      <c r="G22" s="31" t="n"/>
      <c r="H22" s="31" t="n"/>
      <c r="I22" s="26">
        <f>IF(COUNTIF(C22:H22,"&gt;=1")&gt;0,COUNTIF(C22:H22,"&gt;=1")/6,"")</f>
        <v/>
      </c>
    </row>
    <row r="23">
      <c r="A23" s="25" t="inlineStr">
        <is>
          <t>Dec 06</t>
        </is>
      </c>
      <c r="B23" s="13" t="inlineStr">
        <is>
          <t>Sun</t>
        </is>
      </c>
      <c r="C23" s="31" t="n"/>
      <c r="D23" s="31" t="n"/>
      <c r="E23" s="31" t="n"/>
      <c r="F23" s="31" t="n"/>
      <c r="G23" s="31" t="n"/>
      <c r="H23" s="31" t="n"/>
      <c r="I23" s="26">
        <f>IF(COUNTIF(C23:H23,"&gt;=1")&gt;0,COUNTIF(C23:H23,"&gt;=1")/6,"")</f>
        <v/>
      </c>
    </row>
    <row r="24">
      <c r="A24" s="12" t="inlineStr">
        <is>
          <t>Dec 07</t>
        </is>
      </c>
      <c r="B24" s="29" t="inlineStr">
        <is>
          <t>Mon</t>
        </is>
      </c>
      <c r="C24" s="30" t="n"/>
      <c r="D24" s="30" t="n"/>
      <c r="E24" s="30" t="n"/>
      <c r="F24" s="30" t="n"/>
      <c r="G24" s="30" t="n"/>
      <c r="H24" s="30" t="n"/>
      <c r="I24" s="14">
        <f>IF(COUNTIF(C24:H24,"&gt;=1")&gt;0,COUNTIF(C24:H24,"&gt;=1")/6,"")</f>
        <v/>
      </c>
    </row>
    <row r="25">
      <c r="A25" s="32" t="inlineStr">
        <is>
          <t>Dec 08</t>
        </is>
      </c>
      <c r="B25" s="33" t="inlineStr">
        <is>
          <t>Tue</t>
        </is>
      </c>
      <c r="C25" s="34" t="n"/>
      <c r="D25" s="34" t="n"/>
      <c r="E25" s="34" t="n"/>
      <c r="F25" s="34" t="n"/>
      <c r="G25" s="34" t="n"/>
      <c r="H25" s="34" t="n"/>
      <c r="I25" s="35">
        <f>IF(COUNTIF(C25:H25,"&gt;=1")&gt;0,COUNTIF(C25:H25,"&gt;=1")/6,"")</f>
        <v/>
      </c>
    </row>
    <row r="26">
      <c r="A26" s="12" t="inlineStr">
        <is>
          <t>Dec 09</t>
        </is>
      </c>
      <c r="B26" s="29" t="inlineStr">
        <is>
          <t>Wed</t>
        </is>
      </c>
      <c r="C26" s="30" t="n"/>
      <c r="D26" s="30" t="n"/>
      <c r="E26" s="30" t="n"/>
      <c r="F26" s="30" t="n"/>
      <c r="G26" s="30" t="n"/>
      <c r="H26" s="30" t="n"/>
      <c r="I26" s="14">
        <f>IF(COUNTIF(C26:H26,"&gt;=1")&gt;0,COUNTIF(C26:H26,"&gt;=1")/6,"")</f>
        <v/>
      </c>
    </row>
    <row r="27">
      <c r="A27" s="12" t="inlineStr">
        <is>
          <t>Dec 10</t>
        </is>
      </c>
      <c r="B27" s="29" t="inlineStr">
        <is>
          <t>Thu</t>
        </is>
      </c>
      <c r="C27" s="30" t="n"/>
      <c r="D27" s="30" t="n"/>
      <c r="E27" s="30" t="n"/>
      <c r="F27" s="30" t="n"/>
      <c r="G27" s="30" t="n"/>
      <c r="H27" s="30" t="n"/>
      <c r="I27" s="14">
        <f>IF(COUNTIF(C27:H27,"&gt;=1")&gt;0,COUNTIF(C27:H27,"&gt;=1")/6,"")</f>
        <v/>
      </c>
    </row>
    <row r="28">
      <c r="A28" s="12" t="inlineStr">
        <is>
          <t>Dec 11</t>
        </is>
      </c>
      <c r="B28" s="29" t="inlineStr">
        <is>
          <t>Fri</t>
        </is>
      </c>
      <c r="C28" s="30" t="n"/>
      <c r="D28" s="30" t="n"/>
      <c r="E28" s="30" t="n"/>
      <c r="F28" s="30" t="n"/>
      <c r="G28" s="30" t="n"/>
      <c r="H28" s="30" t="n"/>
      <c r="I28" s="14">
        <f>IF(COUNTIF(C28:H28,"&gt;=1")&gt;0,COUNTIF(C28:H28,"&gt;=1")/6,"")</f>
        <v/>
      </c>
    </row>
    <row r="29">
      <c r="A29" s="25" t="inlineStr">
        <is>
          <t>Dec 12</t>
        </is>
      </c>
      <c r="B29" s="13" t="inlineStr">
        <is>
          <t>Sat</t>
        </is>
      </c>
      <c r="C29" s="31" t="n"/>
      <c r="D29" s="31" t="n"/>
      <c r="E29" s="31" t="n"/>
      <c r="F29" s="31" t="n"/>
      <c r="G29" s="31" t="n"/>
      <c r="H29" s="31" t="n"/>
      <c r="I29" s="26">
        <f>IF(COUNTIF(C29:H29,"&gt;=1")&gt;0,COUNTIF(C29:H29,"&gt;=1")/6,"")</f>
        <v/>
      </c>
    </row>
    <row r="30">
      <c r="A30" s="25" t="inlineStr">
        <is>
          <t>Dec 13</t>
        </is>
      </c>
      <c r="B30" s="13" t="inlineStr">
        <is>
          <t>Sun</t>
        </is>
      </c>
      <c r="C30" s="31" t="n"/>
      <c r="D30" s="31" t="n"/>
      <c r="E30" s="31" t="n"/>
      <c r="F30" s="31" t="n"/>
      <c r="G30" s="31" t="n"/>
      <c r="H30" s="31" t="n"/>
      <c r="I30" s="26">
        <f>IF(COUNTIF(C30:H30,"&gt;=1")&gt;0,COUNTIF(C30:H30,"&gt;=1")/6,"")</f>
        <v/>
      </c>
    </row>
    <row r="31">
      <c r="A31" s="12" t="inlineStr">
        <is>
          <t>Dec 14</t>
        </is>
      </c>
      <c r="B31" s="29" t="inlineStr">
        <is>
          <t>Mon</t>
        </is>
      </c>
      <c r="C31" s="30" t="n"/>
      <c r="D31" s="30" t="n"/>
      <c r="E31" s="30" t="n"/>
      <c r="F31" s="30" t="n"/>
      <c r="G31" s="30" t="n"/>
      <c r="H31" s="30" t="n"/>
      <c r="I31" s="14">
        <f>IF(COUNTIF(C31:H31,"&gt;=1")&gt;0,COUNTIF(C31:H31,"&gt;=1")/6,"")</f>
        <v/>
      </c>
    </row>
    <row r="32">
      <c r="A32" s="32" t="inlineStr">
        <is>
          <t>Dec 15</t>
        </is>
      </c>
      <c r="B32" s="33" t="inlineStr">
        <is>
          <t>Tue</t>
        </is>
      </c>
      <c r="C32" s="34" t="n"/>
      <c r="D32" s="34" t="n"/>
      <c r="E32" s="34" t="n"/>
      <c r="F32" s="34" t="n"/>
      <c r="G32" s="34" t="n"/>
      <c r="H32" s="34" t="n"/>
      <c r="I32" s="35">
        <f>IF(COUNTIF(C32:H32,"&gt;=1")&gt;0,COUNTIF(C32:H32,"&gt;=1")/6,"")</f>
        <v/>
      </c>
    </row>
    <row r="33">
      <c r="A33" s="12" t="inlineStr">
        <is>
          <t>Dec 16</t>
        </is>
      </c>
      <c r="B33" s="29" t="inlineStr">
        <is>
          <t>Wed</t>
        </is>
      </c>
      <c r="C33" s="30" t="n"/>
      <c r="D33" s="30" t="n"/>
      <c r="E33" s="30" t="n"/>
      <c r="F33" s="30" t="n"/>
      <c r="G33" s="30" t="n"/>
      <c r="H33" s="30" t="n"/>
      <c r="I33" s="14">
        <f>IF(COUNTIF(C33:H33,"&gt;=1")&gt;0,COUNTIF(C33:H33,"&gt;=1")/6,"")</f>
        <v/>
      </c>
    </row>
    <row r="34">
      <c r="A34" s="12" t="inlineStr">
        <is>
          <t>Dec 17</t>
        </is>
      </c>
      <c r="B34" s="29" t="inlineStr">
        <is>
          <t>Thu</t>
        </is>
      </c>
      <c r="C34" s="30" t="n"/>
      <c r="D34" s="30" t="n"/>
      <c r="E34" s="30" t="n"/>
      <c r="F34" s="30" t="n"/>
      <c r="G34" s="30" t="n"/>
      <c r="H34" s="30" t="n"/>
      <c r="I34" s="14">
        <f>IF(COUNTIF(C34:H34,"&gt;=1")&gt;0,COUNTIF(C34:H34,"&gt;=1")/6,"")</f>
        <v/>
      </c>
    </row>
    <row r="35">
      <c r="A35" s="12" t="inlineStr">
        <is>
          <t>Dec 18</t>
        </is>
      </c>
      <c r="B35" s="29" t="inlineStr">
        <is>
          <t>Fri</t>
        </is>
      </c>
      <c r="C35" s="30" t="n"/>
      <c r="D35" s="30" t="n"/>
      <c r="E35" s="30" t="n"/>
      <c r="F35" s="30" t="n"/>
      <c r="G35" s="30" t="n"/>
      <c r="H35" s="30" t="n"/>
      <c r="I35" s="14">
        <f>IF(COUNTIF(C35:H35,"&gt;=1")&gt;0,COUNTIF(C35:H35,"&gt;=1")/6,"")</f>
        <v/>
      </c>
    </row>
    <row r="36">
      <c r="A36" s="25" t="inlineStr">
        <is>
          <t>Dec 19</t>
        </is>
      </c>
      <c r="B36" s="13" t="inlineStr">
        <is>
          <t>Sat</t>
        </is>
      </c>
      <c r="C36" s="31" t="n"/>
      <c r="D36" s="31" t="n"/>
      <c r="E36" s="31" t="n"/>
      <c r="F36" s="31" t="n"/>
      <c r="G36" s="31" t="n"/>
      <c r="H36" s="31" t="n"/>
      <c r="I36" s="26">
        <f>IF(COUNTIF(C36:H36,"&gt;=1")&gt;0,COUNTIF(C36:H36,"&gt;=1")/6,"")</f>
        <v/>
      </c>
    </row>
    <row r="37">
      <c r="A37" s="25" t="inlineStr">
        <is>
          <t>Dec 20</t>
        </is>
      </c>
      <c r="B37" s="13" t="inlineStr">
        <is>
          <t>Sun</t>
        </is>
      </c>
      <c r="C37" s="31" t="n"/>
      <c r="D37" s="31" t="n"/>
      <c r="E37" s="31" t="n"/>
      <c r="F37" s="31" t="n"/>
      <c r="G37" s="31" t="n"/>
      <c r="H37" s="31" t="n"/>
      <c r="I37" s="26">
        <f>IF(COUNTIF(C37:H37,"&gt;=1")&gt;0,COUNTIF(C37:H37,"&gt;=1")/6,"")</f>
        <v/>
      </c>
    </row>
    <row r="38">
      <c r="A38" s="12" t="inlineStr">
        <is>
          <t>Dec 21</t>
        </is>
      </c>
      <c r="B38" s="29" t="inlineStr">
        <is>
          <t>Mon</t>
        </is>
      </c>
      <c r="C38" s="30" t="n"/>
      <c r="D38" s="30" t="n"/>
      <c r="E38" s="30" t="n"/>
      <c r="F38" s="30" t="n"/>
      <c r="G38" s="30" t="n"/>
      <c r="H38" s="30" t="n"/>
      <c r="I38" s="14">
        <f>IF(COUNTIF(C38:H38,"&gt;=1")&gt;0,COUNTIF(C38:H38,"&gt;=1")/6,"")</f>
        <v/>
      </c>
    </row>
    <row r="39">
      <c r="A39" s="32" t="inlineStr">
        <is>
          <t>Dec 22</t>
        </is>
      </c>
      <c r="B39" s="33" t="inlineStr">
        <is>
          <t>Tue</t>
        </is>
      </c>
      <c r="C39" s="34" t="n"/>
      <c r="D39" s="34" t="n"/>
      <c r="E39" s="34" t="n"/>
      <c r="F39" s="34" t="n"/>
      <c r="G39" s="34" t="n"/>
      <c r="H39" s="34" t="n"/>
      <c r="I39" s="35">
        <f>IF(COUNTIF(C39:H39,"&gt;=1")&gt;0,COUNTIF(C39:H39,"&gt;=1")/6,"")</f>
        <v/>
      </c>
    </row>
    <row r="40">
      <c r="A40" s="12" t="inlineStr">
        <is>
          <t>Dec 23</t>
        </is>
      </c>
      <c r="B40" s="29" t="inlineStr">
        <is>
          <t>Wed</t>
        </is>
      </c>
      <c r="C40" s="30" t="n"/>
      <c r="D40" s="30" t="n"/>
      <c r="E40" s="30" t="n"/>
      <c r="F40" s="30" t="n"/>
      <c r="G40" s="30" t="n"/>
      <c r="H40" s="30" t="n"/>
      <c r="I40" s="14">
        <f>IF(COUNTIF(C40:H40,"&gt;=1")&gt;0,COUNTIF(C40:H40,"&gt;=1")/6,"")</f>
        <v/>
      </c>
    </row>
    <row r="41">
      <c r="A41" s="12" t="inlineStr">
        <is>
          <t>Dec 24</t>
        </is>
      </c>
      <c r="B41" s="29" t="inlineStr">
        <is>
          <t>Thu</t>
        </is>
      </c>
      <c r="C41" s="30" t="n"/>
      <c r="D41" s="30" t="n"/>
      <c r="E41" s="30" t="n"/>
      <c r="F41" s="30" t="n"/>
      <c r="G41" s="30" t="n"/>
      <c r="H41" s="30" t="n"/>
      <c r="I41" s="14">
        <f>IF(COUNTIF(C41:H41,"&gt;=1")&gt;0,COUNTIF(C41:H41,"&gt;=1")/6,"")</f>
        <v/>
      </c>
    </row>
    <row r="42">
      <c r="A42" s="12" t="inlineStr">
        <is>
          <t>Dec 25</t>
        </is>
      </c>
      <c r="B42" s="29" t="inlineStr">
        <is>
          <t>Fri</t>
        </is>
      </c>
      <c r="C42" s="30" t="n"/>
      <c r="D42" s="30" t="n"/>
      <c r="E42" s="30" t="n"/>
      <c r="F42" s="30" t="n"/>
      <c r="G42" s="30" t="n"/>
      <c r="H42" s="30" t="n"/>
      <c r="I42" s="14">
        <f>IF(COUNTIF(C42:H42,"&gt;=1")&gt;0,COUNTIF(C42:H42,"&gt;=1")/6,"")</f>
        <v/>
      </c>
    </row>
    <row r="43">
      <c r="A43" s="25" t="inlineStr">
        <is>
          <t>Dec 26</t>
        </is>
      </c>
      <c r="B43" s="13" t="inlineStr">
        <is>
          <t>Sat</t>
        </is>
      </c>
      <c r="C43" s="31" t="n"/>
      <c r="D43" s="31" t="n"/>
      <c r="E43" s="31" t="n"/>
      <c r="F43" s="31" t="n"/>
      <c r="G43" s="31" t="n"/>
      <c r="H43" s="31" t="n"/>
      <c r="I43" s="26">
        <f>IF(COUNTIF(C43:H43,"&gt;=1")&gt;0,COUNTIF(C43:H43,"&gt;=1")/6,"")</f>
        <v/>
      </c>
    </row>
    <row r="44">
      <c r="A44" s="25" t="inlineStr">
        <is>
          <t>Dec 27</t>
        </is>
      </c>
      <c r="B44" s="13" t="inlineStr">
        <is>
          <t>Sun</t>
        </is>
      </c>
      <c r="C44" s="31" t="n"/>
      <c r="D44" s="31" t="n"/>
      <c r="E44" s="31" t="n"/>
      <c r="F44" s="31" t="n"/>
      <c r="G44" s="31" t="n"/>
      <c r="H44" s="31" t="n"/>
      <c r="I44" s="26">
        <f>IF(COUNTIF(C44:H44,"&gt;=1")&gt;0,COUNTIF(C44:H44,"&gt;=1")/6,"")</f>
        <v/>
      </c>
    </row>
    <row r="45">
      <c r="A45" s="12" t="inlineStr">
        <is>
          <t>Dec 28</t>
        </is>
      </c>
      <c r="B45" s="29" t="inlineStr">
        <is>
          <t>Mon</t>
        </is>
      </c>
      <c r="C45" s="30" t="n"/>
      <c r="D45" s="30" t="n"/>
      <c r="E45" s="30" t="n"/>
      <c r="F45" s="30" t="n"/>
      <c r="G45" s="30" t="n"/>
      <c r="H45" s="30" t="n"/>
      <c r="I45" s="14">
        <f>IF(COUNTIF(C45:H45,"&gt;=1")&gt;0,COUNTIF(C45:H45,"&gt;=1")/6,"")</f>
        <v/>
      </c>
    </row>
    <row r="46">
      <c r="A46" s="32" t="inlineStr">
        <is>
          <t>Dec 29</t>
        </is>
      </c>
      <c r="B46" s="33" t="inlineStr">
        <is>
          <t>Tue</t>
        </is>
      </c>
      <c r="C46" s="34" t="n"/>
      <c r="D46" s="34" t="n"/>
      <c r="E46" s="34" t="n"/>
      <c r="F46" s="34" t="n"/>
      <c r="G46" s="34" t="n"/>
      <c r="H46" s="34" t="n"/>
      <c r="I46" s="35">
        <f>IF(COUNTIF(C46:H46,"&gt;=1")&gt;0,COUNTIF(C46:H46,"&gt;=1")/6,"")</f>
        <v/>
      </c>
    </row>
    <row r="47">
      <c r="A47" s="12" t="inlineStr">
        <is>
          <t>Dec 30</t>
        </is>
      </c>
      <c r="B47" s="29" t="inlineStr">
        <is>
          <t>Wed</t>
        </is>
      </c>
      <c r="C47" s="30" t="n"/>
      <c r="D47" s="30" t="n"/>
      <c r="E47" s="30" t="n"/>
      <c r="F47" s="30" t="n"/>
      <c r="G47" s="30" t="n"/>
      <c r="H47" s="30" t="n"/>
      <c r="I47" s="14">
        <f>IF(COUNTIF(C47:H47,"&gt;=1")&gt;0,COUNTIF(C47:H47,"&gt;=1")/6,"")</f>
        <v/>
      </c>
    </row>
    <row r="48">
      <c r="A48" s="12" t="inlineStr">
        <is>
          <t>Dec 31</t>
        </is>
      </c>
      <c r="B48" s="29" t="inlineStr">
        <is>
          <t>Thu</t>
        </is>
      </c>
      <c r="C48" s="30" t="n"/>
      <c r="D48" s="30" t="n"/>
      <c r="E48" s="30" t="n"/>
      <c r="F48" s="30" t="n"/>
      <c r="G48" s="30" t="n"/>
      <c r="H48" s="30" t="n"/>
      <c r="I48" s="14">
        <f>IF(COUNTIF(C48:H48,"&gt;=1")&gt;0,COUNTIF(C48:H48,"&gt;=1")/6,"")</f>
        <v/>
      </c>
    </row>
  </sheetData>
  <mergeCells count="5">
    <mergeCell ref="A2:I2"/>
    <mergeCell ref="A5:I5"/>
    <mergeCell ref="A13:I13"/>
    <mergeCell ref="A1:I1"/>
    <mergeCell ref="A16:I16"/>
  </mergeCells>
  <conditionalFormatting sqref="C18:C48">
    <cfRule type="cellIs" priority="1" operator="equal" dxfId="3">
      <formula>1</formula>
    </cfRule>
  </conditionalFormatting>
  <conditionalFormatting sqref="D18:D48">
    <cfRule type="cellIs" priority="2" operator="equal" dxfId="3">
      <formula>1</formula>
    </cfRule>
  </conditionalFormatting>
  <conditionalFormatting sqref="E18:E48">
    <cfRule type="cellIs" priority="3" operator="equal" dxfId="3">
      <formula>1</formula>
    </cfRule>
  </conditionalFormatting>
  <conditionalFormatting sqref="F18:F48">
    <cfRule type="cellIs" priority="4" operator="equal" dxfId="3">
      <formula>1</formula>
    </cfRule>
  </conditionalFormatting>
  <conditionalFormatting sqref="G18:G48">
    <cfRule type="cellIs" priority="5" operator="equal" dxfId="3">
      <formula>1</formula>
    </cfRule>
  </conditionalFormatting>
  <conditionalFormatting sqref="H18:H48">
    <cfRule type="cellIs" priority="6" operator="equal" dxfId="3">
      <formula>1</formula>
    </cfRule>
  </conditionalFormatting>
  <conditionalFormatting sqref="C7:I7">
    <cfRule type="cellIs" priority="7" operator="greaterThanOrEqual" dxfId="0">
      <formula>0.8</formula>
    </cfRule>
    <cfRule type="cellIs" priority="8" operator="between" dxfId="1">
      <formula>0.5</formula>
      <formula>0.7999</formula>
    </cfRule>
    <cfRule type="cellIs" priority="9" operator="lessThan" dxfId="2">
      <formula>0.5</formula>
    </cfRule>
  </conditionalFormatting>
  <conditionalFormatting sqref="C8:I8">
    <cfRule type="cellIs" priority="10" operator="greaterThanOrEqual" dxfId="0">
      <formula>0.8</formula>
    </cfRule>
    <cfRule type="cellIs" priority="11" operator="between" dxfId="1">
      <formula>0.5</formula>
      <formula>0.7999</formula>
    </cfRule>
    <cfRule type="cellIs" priority="12" operator="lessThan" dxfId="2">
      <formula>0.5</formula>
    </cfRule>
  </conditionalFormatting>
  <conditionalFormatting sqref="C9:I9">
    <cfRule type="cellIs" priority="13" operator="greaterThanOrEqual" dxfId="0">
      <formula>0.8</formula>
    </cfRule>
    <cfRule type="cellIs" priority="14" operator="between" dxfId="1">
      <formula>0.5</formula>
      <formula>0.7999</formula>
    </cfRule>
    <cfRule type="cellIs" priority="15" operator="lessThan" dxfId="2">
      <formula>0.5</formula>
    </cfRule>
  </conditionalFormatting>
  <conditionalFormatting sqref="C10:I10">
    <cfRule type="cellIs" priority="16" operator="greaterThanOrEqual" dxfId="0">
      <formula>0.8</formula>
    </cfRule>
    <cfRule type="cellIs" priority="17" operator="between" dxfId="1">
      <formula>0.5</formula>
      <formula>0.7999</formula>
    </cfRule>
    <cfRule type="cellIs" priority="18" operator="lessThan" dxfId="2">
      <formula>0.5</formula>
    </cfRule>
  </conditionalFormatting>
  <conditionalFormatting sqref="C11:I11">
    <cfRule type="cellIs" priority="19" operator="greaterThanOrEqual" dxfId="0">
      <formula>0.8</formula>
    </cfRule>
    <cfRule type="cellIs" priority="20" operator="between" dxfId="1">
      <formula>0.5</formula>
      <formula>0.7999</formula>
    </cfRule>
    <cfRule type="cellIs" priority="21" operator="lessThan" dxfId="2">
      <formula>0.5</formula>
    </cfRule>
  </conditionalFormatting>
  <conditionalFormatting sqref="C14:I14">
    <cfRule type="cellIs" priority="22" operator="greaterThanOrEqual" dxfId="0">
      <formula>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2026-03-15T20:27:29Z</dcterms:created>
  <dcterms:modified xsi:type="dcterms:W3CDTF">2026-03-15T20:27:29Z</dcterms:modified>
</cp:coreProperties>
</file>